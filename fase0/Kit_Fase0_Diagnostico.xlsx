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quipe" sheetId="2" state="visible" r:id="rId4"/>
    <sheet name="Cadastro Mestre" sheetId="3" state="visible" r:id="rId5"/>
    <sheet name="Levantamento de Tempo" sheetId="4" state="visible" r:id="rId6"/>
    <sheet name="Resumo Baseline" sheetId="5" state="visible" r:id="rId7"/>
    <sheet name="Business Case" sheetId="6" state="visible" r:id="rId8"/>
    <sheet name="Catálogo de Auditorias" sheetId="7" state="visible" r:id="rId9"/>
    <sheet name="Plano 30 dias" sheetId="8" state="visible" r:id="rId10"/>
    <sheet name="Roteiro de Reuniões" sheetId="9" state="visible" r:id="rId11"/>
  </sheets>
  <definedNames>
    <definedName function="false" hidden="true" localSheetId="2" name="_xlnm._FilterDatabase" vbProcedure="false">'Cadastro Mestre'!$A$4:$AG$504</definedName>
    <definedName function="false" hidden="true" localSheetId="6" name="_xlnm._FilterDatabase" vbProcedure="false">'Catálogo de Auditorias'!$A$4:$Q$50</definedName>
    <definedName function="false" hidden="true" localSheetId="3" name="_xlnm._FilterDatabase" vbProcedure="false">'Levantamento de Tempo'!$A$4:$I$2004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Informado por você: 12 pessoas no departamento fiscal.</t>
        </r>
      </text>
    </comment>
    <comment ref="B6" authorId="0">
      <text>
        <r>
          <rPr>
            <sz val="10"/>
            <rFont val="Arial"/>
            <family val="2"/>
          </rPr>
          <t xml:space="preserve">Estimativa inicial. Substitua pela média real da folha do fiscal (a aba Equipe calcula ao lado).</t>
        </r>
      </text>
    </comment>
    <comment ref="B7" authorId="0">
      <text>
        <r>
          <rPr>
            <sz val="10"/>
            <rFont val="Arial"/>
            <family val="2"/>
          </rPr>
          <t xml:space="preserve">≈ 21 dias úteis × 8 h × 83% de tempo produtivo.</t>
        </r>
      </text>
    </comment>
    <comment ref="B8" authorId="0">
      <text>
        <r>
          <rPr>
            <sz val="10"/>
            <rFont val="Arial"/>
            <family val="2"/>
          </rPr>
          <t xml:space="preserve">Escolha: Conservador, Base ou Otimista.</t>
        </r>
      </text>
    </comment>
    <comment ref="B24" authorId="0">
      <text>
        <r>
          <rPr>
            <sz val="10"/>
            <rFont val="Arial"/>
            <family val="2"/>
          </rPr>
          <t xml:space="preserve">Novo profissional ou alguém da equipe realocado (nesse caso, use o custo atual da pessoa).</t>
        </r>
      </text>
    </comment>
    <comment ref="B25" authorId="0">
      <text>
        <r>
          <rPr>
            <sz val="10"/>
            <rFont val="Arial"/>
            <family val="2"/>
          </rPr>
          <t xml:space="preserve">Cotar com 2 fornecedores na Fase 0.</t>
        </r>
      </text>
    </comment>
    <comment ref="B26" authorId="0">
      <text>
        <r>
          <rPr>
            <sz val="10"/>
            <rFont val="Arial"/>
            <family val="2"/>
          </rPr>
          <t xml:space="preserve">Estimativa.</t>
        </r>
      </text>
    </comment>
    <comment ref="B27" authorId="0">
      <text>
        <r>
          <rPr>
            <sz val="10"/>
            <rFont val="Arial"/>
            <family val="2"/>
          </rPr>
          <t xml:space="preserve">Cobrança por consumo; validar com volumes reais.</t>
        </r>
      </text>
    </comment>
    <comment ref="B28" authorId="0">
      <text>
        <r>
          <rPr>
            <sz val="10"/>
            <rFont val="Arial"/>
            <family val="2"/>
          </rPr>
          <t xml:space="preserve">Opcional. Deixe 0 para análise conservadora.</t>
        </r>
      </text>
    </comment>
    <comment ref="B29" authorId="0">
      <text>
        <r>
          <rPr>
            <sz val="10"/>
            <rFont val="Arial"/>
            <family val="2"/>
          </rPr>
          <t xml:space="preserve">Estimativa para a fundação (Fases 1 e 2).</t>
        </r>
      </text>
    </comment>
    <comment ref="B30" authorId="0">
      <text>
        <r>
          <rPr>
            <sz val="10"/>
            <rFont val="Arial"/>
            <family val="2"/>
          </rPr>
          <t xml:space="preserve">Pagamento distribuído nos primeiros meses.</t>
        </r>
      </text>
    </comment>
  </commentList>
</comments>
</file>

<file path=xl/sharedStrings.xml><?xml version="1.0" encoding="utf-8"?>
<sst xmlns="http://schemas.openxmlformats.org/spreadsheetml/2006/main" count="976" uniqueCount="569">
  <si>
    <t xml:space="preserve">Kit Fase 0 — Diagnóstico do Departamento Fiscal</t>
  </si>
  <si>
    <t xml:space="preserve">Projeto: Ecossistema de Automação Fiscal (Domínio Web) · versão 1.0 · setembro/2026</t>
  </si>
  <si>
    <t xml:space="preserve">PARA QUE SERVE</t>
  </si>
  <si>
    <t xml:space="preserve">Objetivo</t>
  </si>
  <si>
    <t xml:space="preserve">Medir o ponto de partida (baseline) e organizar os dados mestres antes de automatizar. Sem esses números não dá para priorizar nem provar a redução de mão de obra.</t>
  </si>
  <si>
    <t xml:space="preserve">Quando usar</t>
  </si>
  <si>
    <t xml:space="preserve">Nas 4 semanas da Fase 0. O levantamento de tempo dura 10 dias úteis; o cadastro mestre deve cobrir 100% das empresas.</t>
  </si>
  <si>
    <t xml:space="preserve">ORDEM DE PREENCHIMENTO</t>
  </si>
  <si>
    <t xml:space="preserve">Passo 1 — Equipe</t>
  </si>
  <si>
    <t xml:space="preserve">Liste os analistas do fiscal. Os nomes alimentam as listas das outras abas.</t>
  </si>
  <si>
    <t xml:space="preserve">Passo 2 — Cadastro Mestre</t>
  </si>
  <si>
    <t xml:space="preserve">Uma linha por empresa (cada analista preenche a sua carteira). A classe A/B/C é sugerida automaticamente.</t>
  </si>
  <si>
    <t xml:space="preserve">Passo 3 — Levantamento de Tempo</t>
  </si>
  <si>
    <t xml:space="preserve">Cada analista registra suas atividades por 10 dias úteis (blocos de 15 min ou mais), escolhendo uma das 7 etapas.</t>
  </si>
  <si>
    <t xml:space="preserve">Passo 4 — Resumo Baseline</t>
  </si>
  <si>
    <t xml:space="preserve">Calcula sozinho: horas por etapa, % de retrabalho, horas por empresa e por classe. Informe os dias úteis medidos.</t>
  </si>
  <si>
    <t xml:space="preserve">Passo 5 — Business Case</t>
  </si>
  <si>
    <t xml:space="preserve">Troque as premissas (amarelo, texto azul) pelos números reais e escolha o cenário. Mostra FTE liberado, custo e payback.</t>
  </si>
  <si>
    <t xml:space="preserve">Passo 6 — Catálogo de Auditorias</t>
  </si>
  <si>
    <t xml:space="preserve">46 cruzamentos priorizados por fase. Use as colunas Status/Responsável para acompanhar a construção.</t>
  </si>
  <si>
    <t xml:space="preserve">Passo 7 — Plano 30 dias e Roteiro</t>
  </si>
  <si>
    <t xml:space="preserve">Checklist da Fase 0 e perguntas para Thomson Reuters, SERPRO e fornecedores.</t>
  </si>
  <si>
    <t xml:space="preserve">LEGENDA DE CORES</t>
  </si>
  <si>
    <t xml:space="preserve">Fundo amarelo claro</t>
  </si>
  <si>
    <t xml:space="preserve">Célula para você preencher.</t>
  </si>
  <si>
    <t xml:space="preserve">Texto azul + fundo amarelo</t>
  </si>
  <si>
    <t xml:space="preserve">Premissa editável do Business Case (estimativa inicial; substitua pelo número real).</t>
  </si>
  <si>
    <t xml:space="preserve">Texto preto</t>
  </si>
  <si>
    <t xml:space="preserve">Fórmula. Não sobrescreva.</t>
  </si>
  <si>
    <t xml:space="preserve">Texto verde</t>
  </si>
  <si>
    <t xml:space="preserve">Vínculo com outra aba.</t>
  </si>
  <si>
    <t xml:space="preserve">Linha em cinza itálico</t>
  </si>
  <si>
    <t xml:space="preserve">EXEMPLO de preenchimento. Substitua ou apague antes de usar os resultados.</t>
  </si>
  <si>
    <t xml:space="preserve">AS 7 ETAPAS DO TRABALHO FISCAL</t>
  </si>
  <si>
    <t xml:space="preserve">1. Coleta e cobrança de documentos</t>
  </si>
  <si>
    <t xml:space="preserve">Baixar XML e relatórios, cobrar o cliente, organizar pastas, receber documentos.</t>
  </si>
  <si>
    <t xml:space="preserve">2. Importação e escrituração</t>
  </si>
  <si>
    <t xml:space="preserve">Importar XML/TXT na Domínio, lançar notas manualmente, configurar acumuladores e produtos, corrigir erros de importação.</t>
  </si>
  <si>
    <t xml:space="preserve">3. Conferência e auditoria</t>
  </si>
  <si>
    <t xml:space="preserve">Conferir notas × escrita, CFOP/CST, totais, relatórios de conferência e cruzamentos.</t>
  </si>
  <si>
    <t xml:space="preserve">4. Apuração e guias</t>
  </si>
  <si>
    <t xml:space="preserve">Calcular tributos na Domínio, recalcular, emitir guias (DAS, DARF, estaduais, ISS).</t>
  </si>
  <si>
    <t xml:space="preserve">5. Obrigações acessórias</t>
  </si>
  <si>
    <t xml:space="preserve">Gerar, validar e transmitir SPEDs, PGDAS-D, DCTFWeb/MIT, EFD-Reinf e declarações estaduais/municipais.</t>
  </si>
  <si>
    <t xml:space="preserve">6. Atendimento e envio ao cliente</t>
  </si>
  <si>
    <t xml:space="preserve">Enviar guias e relatórios, responder dúvidas, reuniões com clientes.</t>
  </si>
  <si>
    <t xml:space="preserve">7. Outros</t>
  </si>
  <si>
    <t xml:space="preserve">Reuniões internas, treinamento, suporte de TI, tarefas não fiscais.</t>
  </si>
  <si>
    <t xml:space="preserve">CLASSES DE EMPRESA</t>
  </si>
  <si>
    <t xml:space="preserve">A — complexa</t>
  </si>
  <si>
    <t xml:space="preserve">Lucro Real, indústria ou mais de 500 documentos/mês.</t>
  </si>
  <si>
    <t xml:space="preserve">B — intermediária</t>
  </si>
  <si>
    <t xml:space="preserve">Lucro Presumido, sujeita a ST ou 100 a 500 documentos/mês.</t>
  </si>
  <si>
    <t xml:space="preserve">C — simples</t>
  </si>
  <si>
    <t xml:space="preserve">Demais casos (Simples Nacional de baixo volume, serviços, MEI).</t>
  </si>
  <si>
    <t xml:space="preserve">CUIDADOS</t>
  </si>
  <si>
    <t xml:space="preserve">LGPD e sigilo</t>
  </si>
  <si>
    <t xml:space="preserve">Esta planilha tem dados de clientes e, na aba Equipe, custos de pessoal. Guarde em pasta com acesso restrito aos sócios e à coordenação.</t>
  </si>
  <si>
    <t xml:space="preserve">Honestidade dos registros</t>
  </si>
  <si>
    <t xml:space="preserve">O levantamento de tempo não é avaliação individual. Ele mostra onde o processo trava. Diga isso à equipe antes de começar.</t>
  </si>
  <si>
    <t xml:space="preserve">Equipe do departamento fiscal</t>
  </si>
  <si>
    <t xml:space="preserve">Os nomes desta aba alimentam as listas do Cadastro Mestre e do Levantamento de Tempo. Custo é opcional e confidencial.</t>
  </si>
  <si>
    <t xml:space="preserve">Nome</t>
  </si>
  <si>
    <t xml:space="preserve">Cargo</t>
  </si>
  <si>
    <t xml:space="preserve">Função atual (texto livre)</t>
  </si>
  <si>
    <t xml:space="preserve">Custo mensal total (R$)</t>
  </si>
  <si>
    <t xml:space="preserve">Perfil técnico</t>
  </si>
  <si>
    <t xml:space="preserve">Interesse em automação?</t>
  </si>
  <si>
    <t xml:space="preserve">Maria Exemplo (EXEMPLO)</t>
  </si>
  <si>
    <t xml:space="preserve">Analista</t>
  </si>
  <si>
    <t xml:space="preserve">Carteira Simples Nacional — comércio</t>
  </si>
  <si>
    <t xml:space="preserve">Excel avançado / Power Query</t>
  </si>
  <si>
    <t xml:space="preserve">S</t>
  </si>
  <si>
    <t xml:space="preserve">Custo médio informado (R$)</t>
  </si>
  <si>
    <t xml:space="preserve">Cadastro Mestre de Empresas</t>
  </si>
  <si>
    <t xml:space="preserve">Uma linha por empresa. Colunas (auto) são fórmulas. A classe final usa o ajuste manual, se houver.</t>
  </si>
  <si>
    <t xml:space="preserve">Cód. Domínio</t>
  </si>
  <si>
    <t xml:space="preserve">CNPJ</t>
  </si>
  <si>
    <t xml:space="preserve">Razão social</t>
  </si>
  <si>
    <t xml:space="preserve">Regime</t>
  </si>
  <si>
    <t xml:space="preserve">Atividade</t>
  </si>
  <si>
    <t xml:space="preserve">UF</t>
  </si>
  <si>
    <t xml:space="preserve">Município</t>
  </si>
  <si>
    <t xml:space="preserve">Contribuinte ICMS?</t>
  </si>
  <si>
    <t xml:space="preserve">Sujeita a ST?</t>
  </si>
  <si>
    <t xml:space="preserve">NF-e/NFC-e saída/mês</t>
  </si>
  <si>
    <t xml:space="preserve">NF-e entrada/mês</t>
  </si>
  <si>
    <t xml:space="preserve">NFS-e/mês (prest.+tomadas)</t>
  </si>
  <si>
    <t xml:space="preserve">CT-e/mês</t>
  </si>
  <si>
    <t xml:space="preserve">Documentos/mês (auto)</t>
  </si>
  <si>
    <t xml:space="preserve">Classe sugerida (auto)</t>
  </si>
  <si>
    <t xml:space="preserve">Classe — ajuste manual</t>
  </si>
  <si>
    <t xml:space="preserve">Classe final (auto)</t>
  </si>
  <si>
    <t xml:space="preserve">Analista responsável</t>
  </si>
  <si>
    <t xml:space="preserve">Certificado</t>
  </si>
  <si>
    <t xml:space="preserve">Validade do certificado</t>
  </si>
  <si>
    <t xml:space="preserve">Dias p/ vencer (auto)</t>
  </si>
  <si>
    <t xml:space="preserve">Procuração e-CAC ao escritório?</t>
  </si>
  <si>
    <t xml:space="preserve">Validade da procuração</t>
  </si>
  <si>
    <t xml:space="preserve">PGDAS-D/DEFIS</t>
  </si>
  <si>
    <t xml:space="preserve">DCTFWeb/MIT</t>
  </si>
  <si>
    <t xml:space="preserve">EFD-Reinf</t>
  </si>
  <si>
    <t xml:space="preserve">EFD ICMS/IPI</t>
  </si>
  <si>
    <t xml:space="preserve">EFD-Contrib.</t>
  </si>
  <si>
    <t xml:space="preserve">Declaração estadual (qual?)</t>
  </si>
  <si>
    <t xml:space="preserve">ISS/declaração municipal</t>
  </si>
  <si>
    <t xml:space="preserve">Benefício fiscal / regime especial</t>
  </si>
  <si>
    <t xml:space="preserve">Importa XML na Domínio hoje?</t>
  </si>
  <si>
    <t xml:space="preserve">Observações</t>
  </si>
  <si>
    <t xml:space="preserve">00.000.000/0001-00</t>
  </si>
  <si>
    <t xml:space="preserve">Comércio Exemplo Ltda (EXEMPLO)</t>
  </si>
  <si>
    <t xml:space="preserve">Simples Nacional</t>
  </si>
  <si>
    <t xml:space="preserve">Comércio</t>
  </si>
  <si>
    <t xml:space="preserve">SP</t>
  </si>
  <si>
    <t xml:space="preserve">Campinas</t>
  </si>
  <si>
    <t xml:space="preserve">A1</t>
  </si>
  <si>
    <t xml:space="preserve">N</t>
  </si>
  <si>
    <t xml:space="preserve">DeSTDA</t>
  </si>
  <si>
    <t xml:space="preserve">Parcial</t>
  </si>
  <si>
    <t xml:space="preserve">Linha de exemplo: substitua ou apague.</t>
  </si>
  <si>
    <t xml:space="preserve">Levantamento de Tempo (10 dias úteis)</t>
  </si>
  <si>
    <t xml:space="preserve">Registre cada bloco de trabalho (mín. 15 min). Empresa e classe aparecem sozinhas a partir do código.</t>
  </si>
  <si>
    <t xml:space="preserve">Data</t>
  </si>
  <si>
    <t xml:space="preserve">Cód. empresa</t>
  </si>
  <si>
    <t xml:space="preserve">Empresa (auto)</t>
  </si>
  <si>
    <t xml:space="preserve">Classe (auto)</t>
  </si>
  <si>
    <t xml:space="preserve">Etapa</t>
  </si>
  <si>
    <t xml:space="preserve">Minutos</t>
  </si>
  <si>
    <t xml:space="preserve">Retrabalho?</t>
  </si>
  <si>
    <t xml:space="preserve">Detalhe (o que foi feito)</t>
  </si>
  <si>
    <t xml:space="preserve">Reimportação de 12 XML com acumulador errado (EXEMPLO)</t>
  </si>
  <si>
    <t xml:space="preserve">Resumo do Baseline</t>
  </si>
  <si>
    <t xml:space="preserve">Calculado a partir do Levantamento de Tempo e do Cadastro Mestre. Preencha só as células amarelas.</t>
  </si>
  <si>
    <t xml:space="preserve">Dias úteis medidos</t>
  </si>
  <si>
    <t xml:space="preserve">Premissa: 10 dias úteis de medição (2 semanas).</t>
  </si>
  <si>
    <t xml:space="preserve">Dias úteis em um mês</t>
  </si>
  <si>
    <t xml:space="preserve">Fator de projeção mensal</t>
  </si>
  <si>
    <t xml:space="preserve">Tempo por etapa</t>
  </si>
  <si>
    <t xml:space="preserve">Minutos no período</t>
  </si>
  <si>
    <t xml:space="preserve">Horas no período</t>
  </si>
  <si>
    <t xml:space="preserve">% do total</t>
  </si>
  <si>
    <t xml:space="preserve">% de retrabalho</t>
  </si>
  <si>
    <t xml:space="preserve">Horas/mês projetadas</t>
  </si>
  <si>
    <t xml:space="preserve">Total</t>
  </si>
  <si>
    <t xml:space="preserve">Tempo por analista</t>
  </si>
  <si>
    <t xml:space="preserve">Analista (da aba Equipe)</t>
  </si>
  <si>
    <t xml:space="preserve">Empresas na carteira</t>
  </si>
  <si>
    <t xml:space="preserve">Horas/empresa/mês</t>
  </si>
  <si>
    <t xml:space="preserve">Tempo por classe de empresa</t>
  </si>
  <si>
    <t xml:space="preserve">Classe</t>
  </si>
  <si>
    <t xml:space="preserve">Nº de empresas</t>
  </si>
  <si>
    <t xml:space="preserve">A</t>
  </si>
  <si>
    <t xml:space="preserve">B</t>
  </si>
  <si>
    <t xml:space="preserve">C</t>
  </si>
  <si>
    <t xml:space="preserve">Leitura: horas/empresa/mês por classe é o principal KPI do projeto. A meta de 12 meses é reduzi-lo em ~30%.</t>
  </si>
  <si>
    <t xml:space="preserve">Business Case — automação do departamento fiscal</t>
  </si>
  <si>
    <t xml:space="preserve">Texto azul com fundo amarelo = premissa editável (estimativa inicial). Texto preto = fórmula. Texto verde = vínculo.</t>
  </si>
  <si>
    <t xml:space="preserve">Premissas da equipe</t>
  </si>
  <si>
    <t xml:space="preserve">Analistas fiscais (nº)</t>
  </si>
  <si>
    <t xml:space="preserve">Custo mensal médio por analista: salário + encargos + benefícios (R$)</t>
  </si>
  <si>
    <t xml:space="preserve">← média da aba Equipe (se preenchida)</t>
  </si>
  <si>
    <t xml:space="preserve">Horas produtivas por analista por mês</t>
  </si>
  <si>
    <t xml:space="preserve">Cenário de automação</t>
  </si>
  <si>
    <t xml:space="preserve">Base</t>
  </si>
  <si>
    <t xml:space="preserve">Onde está o tempo e quanto pode ser automatizado em 12 meses</t>
  </si>
  <si>
    <t xml:space="preserve">% do tempo (premissa)</t>
  </si>
  <si>
    <t xml:space="preserve">% medido (Resumo Baseline)</t>
  </si>
  <si>
    <t xml:space="preserve">Conservador</t>
  </si>
  <si>
    <t xml:space="preserve">Otimista</t>
  </si>
  <si>
    <t xml:space="preserve">Potencial no cenário</t>
  </si>
  <si>
    <t xml:space="preserve">Horas liberadas/mês</t>
  </si>
  <si>
    <t xml:space="preserve">Total / ganho ponderado</t>
  </si>
  <si>
    <t xml:space="preserve">Checagem da soma dos % do tempo</t>
  </si>
  <si>
    <t xml:space="preserve">Quando o levantamento terminar, copie os % da coluna C para a coluna B.</t>
  </si>
  <si>
    <t xml:space="preserve">Custos e receitas do ecossistema</t>
  </si>
  <si>
    <t xml:space="preserve">Analista de automação/dados: custo mensal (R$)</t>
  </si>
  <si>
    <t xml:space="preserve">Ferramentas e licenças: captura de XML, workflow, BI (R$/mês)</t>
  </si>
  <si>
    <t xml:space="preserve">Infraestrutura: servidor ou nuvem, banco, backup (R$/mês)</t>
  </si>
  <si>
    <t xml:space="preserve">APIs e IA: Integra Contador, Claude (R$/mês)</t>
  </si>
  <si>
    <t xml:space="preserve">Nova receita com serviços habilitados: recuperação de monofásico, revisão de regime (R$/mês)</t>
  </si>
  <si>
    <t xml:space="preserve">Implantação: consultoria/desenvolvimento externo, valor único (R$)</t>
  </si>
  <si>
    <t xml:space="preserve">Meses para diluir a implantação</t>
  </si>
  <si>
    <t xml:space="preserve">Rampa de ganho (% do ganho pleno alcançado)</t>
  </si>
  <si>
    <t xml:space="preserve">Meses 1 a 3 (Fase 0 e início da Fase 1)</t>
  </si>
  <si>
    <t xml:space="preserve">Meses 4 a 6</t>
  </si>
  <si>
    <t xml:space="preserve">Meses 7 a 9</t>
  </si>
  <si>
    <t xml:space="preserve">Mês 10 em diante</t>
  </si>
  <si>
    <t xml:space="preserve">Resultado</t>
  </si>
  <si>
    <t xml:space="preserve">Ganho de produtividade ponderado (cenário escolhido)</t>
  </si>
  <si>
    <t xml:space="preserve">Horas liberadas por mês em regime pleno</t>
  </si>
  <si>
    <t xml:space="preserve">FTE equivalente liberado</t>
  </si>
  <si>
    <t xml:space="preserve">Economia bruta anual se a capacidade virar não reposição de vagas (R$)</t>
  </si>
  <si>
    <t xml:space="preserve">Nova receita anual (R$)</t>
  </si>
  <si>
    <t xml:space="preserve">Custo recorrente anual do ecossistema (R$)</t>
  </si>
  <si>
    <t xml:space="preserve">Resultado líquido anual em regime pleno (R$)</t>
  </si>
  <si>
    <t xml:space="preserve">Payback: mês em que o acumulado fica positivo</t>
  </si>
  <si>
    <t xml:space="preserve">A economia só vira caixa se a capacidade liberada for convertida: não repor desligamentos, absorver novos clientes sem contratar ou vender novos serviços.</t>
  </si>
  <si>
    <t xml:space="preserve">Fluxo mensal (24 meses)</t>
  </si>
  <si>
    <t xml:space="preserve">Mês</t>
  </si>
  <si>
    <t xml:space="preserve">Rampa</t>
  </si>
  <si>
    <t xml:space="preserve">Economia (R$)</t>
  </si>
  <si>
    <t xml:space="preserve">Nova receita (R$)</t>
  </si>
  <si>
    <t xml:space="preserve">Custos recorrentes (R$)</t>
  </si>
  <si>
    <t xml:space="preserve">Implantação (R$)</t>
  </si>
  <si>
    <t xml:space="preserve">Resultado do mês (R$)</t>
  </si>
  <si>
    <t xml:space="preserve">Acumulado (R$)</t>
  </si>
  <si>
    <t xml:space="preserve">Payback?</t>
  </si>
  <si>
    <t xml:space="preserve">Catálogo de Auditorias Fiscais (regras AUD)</t>
  </si>
  <si>
    <t xml:space="preserve">Prioridade = risco × 2 + (4 − esforço): de 3 a 9, quanto maior, antes. Status e responsável servem para acompanhar a construção.</t>
  </si>
  <si>
    <t xml:space="preserve">Código</t>
  </si>
  <si>
    <t xml:space="preserve">Grupo</t>
  </si>
  <si>
    <t xml:space="preserve">Regra</t>
  </si>
  <si>
    <t xml:space="preserve">O que verifica</t>
  </si>
  <si>
    <t xml:space="preserve">Fontes cruzadas</t>
  </si>
  <si>
    <t xml:space="preserve">Regimes</t>
  </si>
  <si>
    <t xml:space="preserve">Tributos</t>
  </si>
  <si>
    <t xml:space="preserve">Risco</t>
  </si>
  <si>
    <t xml:space="preserve">Esforço</t>
  </si>
  <si>
    <t xml:space="preserve">Fase</t>
  </si>
  <si>
    <t xml:space="preserve">Frequência</t>
  </si>
  <si>
    <t xml:space="preserve">Ação</t>
  </si>
  <si>
    <t xml:space="preserve">Referência</t>
  </si>
  <si>
    <t xml:space="preserve">Prioridade</t>
  </si>
  <si>
    <t xml:space="preserve">Status</t>
  </si>
  <si>
    <t xml:space="preserve">Responsável</t>
  </si>
  <si>
    <t xml:space="preserve">AUD-A01</t>
  </si>
  <si>
    <t xml:space="preserve">A. Completude documental</t>
  </si>
  <si>
    <t xml:space="preserve">NF-e de entrada não escrituradas</t>
  </si>
  <si>
    <t xml:space="preserve">Toda NF-e emitida contra o CNPJ do cliente (Distribuição DF-e / manifestação) está escriturada na competência; lista faltantes.</t>
  </si>
  <si>
    <t xml:space="preserve">XML (SEFAZ) × escrituração Domínio</t>
  </si>
  <si>
    <t xml:space="preserve">Todos</t>
  </si>
  <si>
    <t xml:space="preserve">ICMS, IPI, PIS/COFINS</t>
  </si>
  <si>
    <t xml:space="preserve">Alto</t>
  </si>
  <si>
    <t xml:space="preserve">Baixo</t>
  </si>
  <si>
    <t xml:space="preserve">Diária/mensal</t>
  </si>
  <si>
    <t xml:space="preserve">Bloqueia</t>
  </si>
  <si>
    <t xml:space="preserve">Backlog</t>
  </si>
  <si>
    <t xml:space="preserve">AUD-A02</t>
  </si>
  <si>
    <t xml:space="preserve">Notas de saída não escrituradas</t>
  </si>
  <si>
    <t xml:space="preserve">NF-e/NFC-e autorizadas do cliente × escrituração: faltantes, extras e total por dia/série.</t>
  </si>
  <si>
    <t xml:space="preserve">XML emitidos (autXML/ERP/captura) × escrituração</t>
  </si>
  <si>
    <t xml:space="preserve">Mensal</t>
  </si>
  <si>
    <t xml:space="preserve">AUD-A03</t>
  </si>
  <si>
    <t xml:space="preserve">Canceladas, denegadas e inutilizadas</t>
  </si>
  <si>
    <t xml:space="preserve">Nota cancelada escriturada como normal, cancelamento posterior ao lançamento e inutilizações sem registro de situação.</t>
  </si>
  <si>
    <t xml:space="preserve">Eventos SEFAZ × escrituração</t>
  </si>
  <si>
    <t xml:space="preserve">AUD-A04</t>
  </si>
  <si>
    <t xml:space="preserve">Quebra de sequência numérica</t>
  </si>
  <si>
    <t xml:space="preserve">Saltos na numeração das notas emitidas (por modelo/série) sem inutilização correspondente.</t>
  </si>
  <si>
    <t xml:space="preserve">XML emitidos × eventos de inutilização</t>
  </si>
  <si>
    <t xml:space="preserve">Médio</t>
  </si>
  <si>
    <t xml:space="preserve">Alerta</t>
  </si>
  <si>
    <t xml:space="preserve">AUD-A05</t>
  </si>
  <si>
    <t xml:space="preserve">Lançamento em duplicidade</t>
  </si>
  <si>
    <t xml:space="preserve">Mesma chave de acesso (ou emitente + número + série) escriturada mais de uma vez.</t>
  </si>
  <si>
    <t xml:space="preserve">Escrituração Domínio</t>
  </si>
  <si>
    <t xml:space="preserve">AUD-A06</t>
  </si>
  <si>
    <t xml:space="preserve">NFS-e prestadas e tomadas não escrituradas</t>
  </si>
  <si>
    <t xml:space="preserve">NFS-e do Ambiente Nacional (API do ADN por NSU, com certificado) e de prefeituras que não compartilham × escrituração de serviços, com retenções.</t>
  </si>
  <si>
    <t xml:space="preserve">ADN / prefeituras × escrituração</t>
  </si>
  <si>
    <t xml:space="preserve">ISS, IRRF, CSRF, INSS</t>
  </si>
  <si>
    <t xml:space="preserve">LC 214/2025, art. 62; Res. CGSN 191/2026</t>
  </si>
  <si>
    <t xml:space="preserve">AUD-A07</t>
  </si>
  <si>
    <t xml:space="preserve">CT-e tomados não escriturados</t>
  </si>
  <si>
    <t xml:space="preserve">CT-e em que o cliente é tomador × escrituração; vínculo CT-e ↔ NF-e (frete FOB) e crédito do frete.</t>
  </si>
  <si>
    <t xml:space="preserve">XML CT-e × escrituração</t>
  </si>
  <si>
    <t xml:space="preserve">ICMS, PIS/COFINS</t>
  </si>
  <si>
    <t xml:space="preserve">AUD-A08</t>
  </si>
  <si>
    <t xml:space="preserve">Notas não reconhecidas pelo cliente</t>
  </si>
  <si>
    <t xml:space="preserve">NF-e contra o CNPJ sem manifestação ou de fornecedor atípico: possível nota fria ou operação não realizada.</t>
  </si>
  <si>
    <t xml:space="preserve">Distribuição DF-e × manifestação × histórico de fornecedores</t>
  </si>
  <si>
    <t xml:space="preserve">Semanal</t>
  </si>
  <si>
    <t xml:space="preserve">AUD-A09</t>
  </si>
  <si>
    <t xml:space="preserve">"Sem movimento" com documentos</t>
  </si>
  <si>
    <t xml:space="preserve">Empresa marcada sem movimento ou com apuração zerada, mas com XML emitido/recebido na competência.</t>
  </si>
  <si>
    <t xml:space="preserve">Cadastro mestre × XML × apuração</t>
  </si>
  <si>
    <t xml:space="preserve">AUD-B01</t>
  </si>
  <si>
    <t xml:space="preserve">B. Integridade de valores</t>
  </si>
  <si>
    <t xml:space="preserve">Totais do documento divergentes</t>
  </si>
  <si>
    <t xml:space="preserve">Valor contábil, BC e ICMS, BC e ICMS-ST, IPI, PIS, COFINS e FCP: XML × escrituração, por chave, com tolerância.</t>
  </si>
  <si>
    <t xml:space="preserve">XML × escrituração (relatório/EFD C100-C190)</t>
  </si>
  <si>
    <t xml:space="preserve">ICMS, ST, IPI, PIS/COFINS</t>
  </si>
  <si>
    <t xml:space="preserve">AUD-B02</t>
  </si>
  <si>
    <t xml:space="preserve">Competência e datas</t>
  </si>
  <si>
    <t xml:space="preserve">Data de entrada/saída fora da competência; notas extemporâneas lançadas sem controle.</t>
  </si>
  <si>
    <t xml:space="preserve">XML × escrituração</t>
  </si>
  <si>
    <t xml:space="preserve">AUD-B03</t>
  </si>
  <si>
    <t xml:space="preserve">Participante divergente</t>
  </si>
  <si>
    <t xml:space="preserve">CNPJ, IE e UF do participante no cadastro da Domínio × XML (afeta CFOP interno/interestadual e DIFAL).</t>
  </si>
  <si>
    <t xml:space="preserve">XML × cadastro de participantes</t>
  </si>
  <si>
    <t xml:space="preserve">ICMS</t>
  </si>
  <si>
    <t xml:space="preserve">AUD-B04</t>
  </si>
  <si>
    <t xml:space="preserve">Itens divergentes nas entradas</t>
  </si>
  <si>
    <t xml:space="preserve">Quantidade, valor, NCM e CFOP por item: XML × registro de itens (EFD C170).</t>
  </si>
  <si>
    <t xml:space="preserve">XML × EFD ICMS/IPI (C170)</t>
  </si>
  <si>
    <t xml:space="preserve">LP, LR</t>
  </si>
  <si>
    <t xml:space="preserve">AUD-C01</t>
  </si>
  <si>
    <t xml:space="preserve">C. Classificação fiscal</t>
  </si>
  <si>
    <t xml:space="preserve">CFOP de entrada incoerente</t>
  </si>
  <si>
    <t xml:space="preserve">CFOP escriturado × CFOP do emitente e finalidade (ex.: 5405→1403/1407; 6102→2102/2556/2551; 5910→1910; 5202→1202) e 1º dígito × UF.</t>
  </si>
  <si>
    <t xml:space="preserve">XML × escrituração × tabela de conversão</t>
  </si>
  <si>
    <t xml:space="preserve">Convênio s/nº 1970 (CFOP)</t>
  </si>
  <si>
    <t xml:space="preserve">AUD-C02</t>
  </si>
  <si>
    <t xml:space="preserve">CFOP × CST/CSOSN incoerentes</t>
  </si>
  <si>
    <t xml:space="preserve">Ex.: 5405 com CST 00; CST 40/41 com ICMS destacado; CST 60 sem CFOP de ST; CSOSN em empresa do regime normal e CST em optante do Simples.</t>
  </si>
  <si>
    <t xml:space="preserve">XML × escrituração × cadastro mestre</t>
  </si>
  <si>
    <t xml:space="preserve">AUD-C03</t>
  </si>
  <si>
    <t xml:space="preserve">Crédito de ICMS indevido ou não aproveitado</t>
  </si>
  <si>
    <t xml:space="preserve">Crédito em uso e consumo, ativo fora do CIAP (1/48), fornecedor do Simples sem pCredSN, entradas com ST/isentas; e créditos permitidos não aproveitados.</t>
  </si>
  <si>
    <t xml:space="preserve">XML × escrituração × finalidade do item</t>
  </si>
  <si>
    <t xml:space="preserve">LC 87/1996, arts. 20 e 33; LC 123/2006, art. 23</t>
  </si>
  <si>
    <t xml:space="preserve">AUD-C04</t>
  </si>
  <si>
    <t xml:space="preserve">Créditos de PIS/COFINS não cumulativos</t>
  </si>
  <si>
    <t xml:space="preserve">CST 50–56 nas entradas × natureza do item (insumo, revenda, ativo); monofásicos e alíquota zero sem crédito; coerência com EFD-Contribuições.</t>
  </si>
  <si>
    <t xml:space="preserve">XML × escrituração × EFD-Contribuições</t>
  </si>
  <si>
    <t xml:space="preserve">LR</t>
  </si>
  <si>
    <t xml:space="preserve">PIS/COFINS</t>
  </si>
  <si>
    <t xml:space="preserve">Leis 10.637/2002 e 10.833/2003 (até 12/2026; revisão retroativa 5 anos)</t>
  </si>
  <si>
    <t xml:space="preserve">AUD-C05</t>
  </si>
  <si>
    <t xml:space="preserve">Monofásicos de PIS/COFINS</t>
  </si>
  <si>
    <t xml:space="preserve">NCM na lista de tributação concentrada × receita segregada no PGDAS-D (Simples) ou CST 04 nas saídas (LP/LR). Pagamento em duplicidade vira recuperação.</t>
  </si>
  <si>
    <t xml:space="preserve">XML (NCM) × tabela de monofásicos × PGDAS-D/escrituração</t>
  </si>
  <si>
    <t xml:space="preserve">SN, LP, LR</t>
  </si>
  <si>
    <t xml:space="preserve">Oportunidade</t>
  </si>
  <si>
    <t xml:space="preserve">Leis 10.147/2000, 10.485/2002, 13.097/2015; LC 123/2006, art. 18 §4º-A</t>
  </si>
  <si>
    <t xml:space="preserve">AUD-C06</t>
  </si>
  <si>
    <t xml:space="preserve">ICMS-ST: produto sujeito × tratamento</t>
  </si>
  <si>
    <t xml:space="preserve">NCM/CEST sujeito à ST na UF × CST/CSOSN e segregação de receita com ST no Simples; ST não retida em compra interestadual.</t>
  </si>
  <si>
    <t xml:space="preserve">XML × tabela ST por UF × escrituração/PGDAS-D</t>
  </si>
  <si>
    <t xml:space="preserve">ICMS-ST</t>
  </si>
  <si>
    <t xml:space="preserve">Convênios/protocolos ICMS e legislação da UF</t>
  </si>
  <si>
    <t xml:space="preserve">AUD-C07</t>
  </si>
  <si>
    <t xml:space="preserve">DIFAL</t>
  </si>
  <si>
    <t xml:space="preserve">Compras interestaduais para uso/consumo/ativo e vendas a não contribuinte de outra UF: DIFAL calculado e recolhido.</t>
  </si>
  <si>
    <t xml:space="preserve">XML × escrituração × guias</t>
  </si>
  <si>
    <t xml:space="preserve">ICMS DIFAL/FCP</t>
  </si>
  <si>
    <t xml:space="preserve">EC 87/2015; LC 190/2022</t>
  </si>
  <si>
    <t xml:space="preserve">AUD-C08</t>
  </si>
  <si>
    <t xml:space="preserve">Alíquota de IPI × TIPI</t>
  </si>
  <si>
    <t xml:space="preserve">Indústrias e equiparadas: alíquota por NCM × TIPI vigente; crédito de IPI nas entradas.</t>
  </si>
  <si>
    <t xml:space="preserve">XML × TIPI × escrituração</t>
  </si>
  <si>
    <t xml:space="preserve">IPI</t>
  </si>
  <si>
    <t xml:space="preserve">Decreto 11.158/2022 (TIPI) e alterações</t>
  </si>
  <si>
    <t xml:space="preserve">AUD-C09</t>
  </si>
  <si>
    <t xml:space="preserve">NCM inválido ou incompatível</t>
  </si>
  <si>
    <t xml:space="preserve">NCM inexistente/expirado ou incompatível com a descrição do produto (triagem assistida por IA, decisão humana).</t>
  </si>
  <si>
    <t xml:space="preserve">XML × tabela NCM × IA</t>
  </si>
  <si>
    <t xml:space="preserve">AUD-C10</t>
  </si>
  <si>
    <t xml:space="preserve">Antecipação de ICMS (conforme UF)</t>
  </si>
  <si>
    <t xml:space="preserve">Entradas interestaduais sujeitas à antecipação parcial/total × guia recolhida.</t>
  </si>
  <si>
    <t xml:space="preserve">XML × regra da UF × guias</t>
  </si>
  <si>
    <t xml:space="preserve">Legislação da UF</t>
  </si>
  <si>
    <t xml:space="preserve">AUD-C11</t>
  </si>
  <si>
    <t xml:space="preserve">Reforma: grupos IBS/CBS nos documentos</t>
  </si>
  <si>
    <t xml:space="preserve">CST IBS/CBS, cClassTrib, bases e alíquotas nos XML emitidos (obrigatório: NF-e/CT-e desde 03/08/2026, NFS-e desde 01/10/2026, Simples em 01/01/2027). A SEFAZ ainda não rejeita a falta do grupo: só a auditoria pega.</t>
  </si>
  <si>
    <t xml:space="preserve">XML × tabelas da RTC × escrituração</t>
  </si>
  <si>
    <t xml:space="preserve">CBS, IBS</t>
  </si>
  <si>
    <t xml:space="preserve">LC 214/2025; Ato Conjunto RFB/CGIBS 4/2026; NT 2025.002-RTC</t>
  </si>
  <si>
    <t xml:space="preserve">AUD-D01</t>
  </si>
  <si>
    <t xml:space="preserve">D. Apuração (recálculo-sombra)</t>
  </si>
  <si>
    <t xml:space="preserve">Simples Nacional: recálculo do DAS</t>
  </si>
  <si>
    <t xml:space="preserve">Recalcula RBT12, anexo, faixa, alíquota efetiva e repartição, com segregações (ST, monofásico, exportação, ISS retido) × Domínio × PGDAS-D.</t>
  </si>
  <si>
    <t xml:space="preserve">Receitas × tabelas LC 123 × Domínio × PGDAS-D</t>
  </si>
  <si>
    <t xml:space="preserve">SN</t>
  </si>
  <si>
    <t xml:space="preserve">DAS</t>
  </si>
  <si>
    <t xml:space="preserve">LC 123/2006; Res. CGSN 140/2018</t>
  </si>
  <si>
    <t xml:space="preserve">AUD-D02</t>
  </si>
  <si>
    <t xml:space="preserve">Simples Nacional: limite e sublimite</t>
  </si>
  <si>
    <t xml:space="preserve">Receita acumulada e RBT12 × sublimite (R$ 3,6 mi) e limite (R$ 4,8 mi); alerta preventivo a partir de 80%.</t>
  </si>
  <si>
    <t xml:space="preserve">Receitas 12 meses</t>
  </si>
  <si>
    <t xml:space="preserve">DAS, ICMS, ISS</t>
  </si>
  <si>
    <t xml:space="preserve">LC 123/2006, arts. 3º e 13-A</t>
  </si>
  <si>
    <t xml:space="preserve">AUD-D03</t>
  </si>
  <si>
    <t xml:space="preserve">Simples Nacional: Fator R</t>
  </si>
  <si>
    <t xml:space="preserve">Folha de 12 meses (salários, pró-labore, FGTS, CPP) ÷ RBT12 ≥ 28% define Anexo III × V; confere o anexo aplicado.</t>
  </si>
  <si>
    <t xml:space="preserve">Domínio Folha × receitas × apuração</t>
  </si>
  <si>
    <t xml:space="preserve">LC 123/2006, art. 18 (fator r)</t>
  </si>
  <si>
    <t xml:space="preserve">AUD-D04</t>
  </si>
  <si>
    <t xml:space="preserve">Lucro Presumido: IRPJ e CSLL</t>
  </si>
  <si>
    <t xml:space="preserve">Base de presunção por atividade, acréscimo de 10% nos percentuais sobre a receita acima de R$ 5 mi/ano (R$ 1,25 mi/trimestre; IRPJ desde 01/2026, CSLL desde 04/2026), adicional de IRPJ e retenções compensadas.</t>
  </si>
  <si>
    <t xml:space="preserve">Receitas por atividade × apuração Domínio × DCTFWeb/MIT</t>
  </si>
  <si>
    <t xml:space="preserve">LP</t>
  </si>
  <si>
    <t xml:space="preserve">IRPJ, CSLL</t>
  </si>
  <si>
    <t xml:space="preserve">Trimestral</t>
  </si>
  <si>
    <t xml:space="preserve">Lei 9.249/1995, arts. 15 e 20; LC 224/2025; IN RFB 2.305/2025 e 2.306/2026</t>
  </si>
  <si>
    <t xml:space="preserve">AUD-D05</t>
  </si>
  <si>
    <t xml:space="preserve">PIS/COFINS: débitos e créditos</t>
  </si>
  <si>
    <t xml:space="preserve">Recalcula débitos (cumulativo 0,65%/3%; não cumulativo 1,65%/7,6%), exclusões e créditos × apuração × EFD-Contribuições, incluindo a redução de benefícios da LC 224/2025 (até 12/2026; depois, revisão retroativa).</t>
  </si>
  <si>
    <t xml:space="preserve">Escrituração × EFD-Contribuições</t>
  </si>
  <si>
    <t xml:space="preserve">Leis 9.718/1998, 10.637/2002 e 10.833/2003; LC 224/2025</t>
  </si>
  <si>
    <t xml:space="preserve">AUD-D06</t>
  </si>
  <si>
    <t xml:space="preserve">ICMS regime normal: apuração</t>
  </si>
  <si>
    <t xml:space="preserve">Recalcula débitos e créditos pelos documentos (C190) × apuração da Domínio (E110) × declaração estadual; saldo credor transportado.</t>
  </si>
  <si>
    <t xml:space="preserve">EFD ICMS/IPI × apuração × GIA/declaração da UF</t>
  </si>
  <si>
    <t xml:space="preserve">AUD-D07</t>
  </si>
  <si>
    <t xml:space="preserve">ISS próprio e retido</t>
  </si>
  <si>
    <t xml:space="preserve">ISS dos serviços prestados × alíquota e local de incidência; ISS retido por tomadores deduzido; ISS retido em serviços tomados recolhido.</t>
  </si>
  <si>
    <t xml:space="preserve">NFS-e × escrituração × guias municipais</t>
  </si>
  <si>
    <t xml:space="preserve">ISS</t>
  </si>
  <si>
    <t xml:space="preserve">LC 116/2003, arts. 3º e 6º</t>
  </si>
  <si>
    <t xml:space="preserve">AUD-D08</t>
  </si>
  <si>
    <t xml:space="preserve">Retenções federais e INSS</t>
  </si>
  <si>
    <t xml:space="preserve">Serviços tomados e prestados com IRRF, CSRF (4,65%) e INSS (11%) × EFD-Reinf (R-2010/R-2020/R-4020) × DCTFWeb.</t>
  </si>
  <si>
    <t xml:space="preserve">NFS-e × escrituração × EFD-Reinf × DCTFWeb</t>
  </si>
  <si>
    <t xml:space="preserve">IRRF, CSRF, INSS</t>
  </si>
  <si>
    <t xml:space="preserve">Lei 10.833/2003, art. 30; Lei 8.212/1991, art. 31</t>
  </si>
  <si>
    <t xml:space="preserve">AUD-D09</t>
  </si>
  <si>
    <t xml:space="preserve">Carga tributária fora do padrão</t>
  </si>
  <si>
    <t xml:space="preserve">Carga efetiva do mês (tributos ÷ receita) × média de 12 meses e faixa esperada do segmento.</t>
  </si>
  <si>
    <t xml:space="preserve">Apurações × receitas (histórico)</t>
  </si>
  <si>
    <t xml:space="preserve">AUD-D10</t>
  </si>
  <si>
    <t xml:space="preserve">Lucros e dividendos acima de R$ 50 mil/mês</t>
  </si>
  <si>
    <t xml:space="preserve">Pagamentos de lucros à mesma pessoa física acima de R$ 50 mil no mês: IRRF de 10% retido × EFD-Reinf (R-4010) × DCTFWeb. Interface com contábil/DP.</t>
  </si>
  <si>
    <t xml:space="preserve">Distribuições (contábil) × EFD-Reinf × DCTFWeb</t>
  </si>
  <si>
    <t xml:space="preserve">IRRF</t>
  </si>
  <si>
    <t xml:space="preserve">Lei 15.270/2025; NT EFD-Reinf 02/2026</t>
  </si>
  <si>
    <t xml:space="preserve">AUD-E01</t>
  </si>
  <si>
    <t xml:space="preserve">E. Declarado × apurado × pago</t>
  </si>
  <si>
    <t xml:space="preserve">Apuração × declaração transmitida</t>
  </si>
  <si>
    <t xml:space="preserve">Valores da Domínio × PGDAS-D, DCTFWeb/MIT, EFD-Contribuições, EFD ICMS/IPI e declarações estaduais/municipais.</t>
  </si>
  <si>
    <t xml:space="preserve">Domínio × Integra Contador × recibos</t>
  </si>
  <si>
    <t xml:space="preserve">AUD-E02</t>
  </si>
  <si>
    <t xml:space="preserve">Guia emitida × guia paga</t>
  </si>
  <si>
    <t xml:space="preserve">DAS, DARF e guias estaduais/municipais emitidas × pagamentos localizados; aviso ao cliente antes do vencimento.</t>
  </si>
  <si>
    <t xml:space="preserve">Guias × consulta de pagamentos (e-CAC) × conta corrente da UF</t>
  </si>
  <si>
    <t xml:space="preserve">AUD-E03</t>
  </si>
  <si>
    <t xml:space="preserve">Obrigações entregues no prazo</t>
  </si>
  <si>
    <t xml:space="preserve">Matriz de obrigações de cada empresa × recibos de entrega; alerta 5 dias antes do vencimento.</t>
  </si>
  <si>
    <t xml:space="preserve">Cadastro mestre × recibos</t>
  </si>
  <si>
    <t xml:space="preserve">Diária</t>
  </si>
  <si>
    <t xml:space="preserve">AUD-E04</t>
  </si>
  <si>
    <t xml:space="preserve">Parcelamentos em dia</t>
  </si>
  <si>
    <t xml:space="preserve">Parcelas emitidas e pagas (Simples, federais e estaduais); risco de rescisão.</t>
  </si>
  <si>
    <t xml:space="preserve">Integra Contador (parcelamentos) × pagamentos</t>
  </si>
  <si>
    <t xml:space="preserve">AUD-E05</t>
  </si>
  <si>
    <t xml:space="preserve">CBS: apuração assistida × escrituração</t>
  </si>
  <si>
    <t xml:space="preserve">A partir de 2027, débitos e créditos da apuração assistida da Plataforma CBS (APIs da Receita) × escrituração da Domínio × hub.</t>
  </si>
  <si>
    <t xml:space="preserve">APIs da apuração da CBS × Domínio × hub</t>
  </si>
  <si>
    <t xml:space="preserve">CBS (IBS depois)</t>
  </si>
  <si>
    <t xml:space="preserve">LC 214/2025</t>
  </si>
  <si>
    <t xml:space="preserve">AUD-F01</t>
  </si>
  <si>
    <t xml:space="preserve">F. Cadastro e situação fiscal</t>
  </si>
  <si>
    <t xml:space="preserve">Regime tributário e CNAE</t>
  </si>
  <si>
    <t xml:space="preserve">Regime cadastrado na Domínio × situação na Receita (optante do Simples/SIMEI) e opção semestral pelo IBS/CBS fora do DAS (a partir de 2027); CNAEs × atividades escrituradas e anexo usado.</t>
  </si>
  <si>
    <t xml:space="preserve">Cadastro Domínio × consulta Receita</t>
  </si>
  <si>
    <t xml:space="preserve">AUD-F02</t>
  </si>
  <si>
    <t xml:space="preserve">Certificados e procurações a vencer</t>
  </si>
  <si>
    <t xml:space="preserve">Validade dos certificados A1 (clientes e escritório), procurações eletrônicas e acessos estaduais: alertas em 30, 15 e 5 dias.</t>
  </si>
  <si>
    <t xml:space="preserve">Cofre de certificados × cadastro mestre</t>
  </si>
  <si>
    <t xml:space="preserve">—</t>
  </si>
  <si>
    <t xml:space="preserve">AUD-F03</t>
  </si>
  <si>
    <t xml:space="preserve">Situação fiscal e caixa postal</t>
  </si>
  <si>
    <t xml:space="preserve">Pendências no relatório de situação fiscal, mensagens da Caixa Postal do e-CAC e DTE-SN, domicílios eletrônicos estaduais, termos de exclusão do Simples.</t>
  </si>
  <si>
    <t xml:space="preserve">Integra Contador × portais da UF</t>
  </si>
  <si>
    <t xml:space="preserve">AUD-F04</t>
  </si>
  <si>
    <t xml:space="preserve">IE e situação de fornecedores</t>
  </si>
  <si>
    <t xml:space="preserve">IE do cliente ativa e fornecedores relevantes inaptos/baixados (crédito glosável).</t>
  </si>
  <si>
    <t xml:space="preserve">Cadastro × consulta de contribuintes (CCC/SINTEGRA)</t>
  </si>
  <si>
    <t xml:space="preserve">AUD-G01</t>
  </si>
  <si>
    <t xml:space="preserve">G. Analítica e indícios de risco</t>
  </si>
  <si>
    <t xml:space="preserve">Variação atípica de receitas e compras</t>
  </si>
  <si>
    <t xml:space="preserve">Variação do mês × média de 12 meses fora da faixa; queda brusca de faturamento; compras sem vendas no mês.</t>
  </si>
  <si>
    <t xml:space="preserve">Histórico do hub de dados</t>
  </si>
  <si>
    <t xml:space="preserve">AUD-G02</t>
  </si>
  <si>
    <t xml:space="preserve">Compras incompatíveis com receitas</t>
  </si>
  <si>
    <t xml:space="preserve">Entradas maiores que saídas de forma recorrente no comércio (indício de omissão de receita ou estoque inflado).</t>
  </si>
  <si>
    <t xml:space="preserve">AUD-G03</t>
  </si>
  <si>
    <t xml:space="preserve">Fiscal × contábil</t>
  </si>
  <si>
    <t xml:space="preserve">Faturamento do fiscal × receitas contábeis; tributos apurados × contas de tributos a recolher (quando expandir para o contábil).</t>
  </si>
  <si>
    <t xml:space="preserve">Escrita Fiscal × Contabilidade</t>
  </si>
  <si>
    <t xml:space="preserve">Plano da Fase 0 — 30 dias</t>
  </si>
  <si>
    <t xml:space="preserve">Informe a data de início (segunda-feira). Os prazos se ajustam sozinhos.</t>
  </si>
  <si>
    <t xml:space="preserve">Data de início (segunda-feira)</t>
  </si>
  <si>
    <t xml:space="preserve">Semana</t>
  </si>
  <si>
    <t xml:space="preserve">Nº</t>
  </si>
  <si>
    <t xml:space="preserve">Responsável (sugestão)</t>
  </si>
  <si>
    <t xml:space="preserve">Entregável</t>
  </si>
  <si>
    <t xml:space="preserve">Prazo</t>
  </si>
  <si>
    <t xml:space="preserve">URGENTE (até 30/09/2026): revisar clientes do Simples com vendas relevantes para empresas e decidir a opção pelo IBS/CBS fora do DAS no 1º semestre de 2027. A opção pode ser cancelada até 30/11/2026. Confirme as regras no Portal do Simples Nacional.</t>
  </si>
  <si>
    <t xml:space="preserve">Sócio + coordenador</t>
  </si>
  <si>
    <t xml:space="preserve">Clientes analisados e opções feitas</t>
  </si>
  <si>
    <t xml:space="preserve">A fazer</t>
  </si>
  <si>
    <t xml:space="preserve">Prazo legal fixo</t>
  </si>
  <si>
    <t xml:space="preserve">Nomear o núcleo do projeto: patrocinador (sócio), dono das regras (coordenador fiscal) e candidato a analista de automação.</t>
  </si>
  <si>
    <t xml:space="preserve">Sócio</t>
  </si>
  <si>
    <t xml:space="preserve">Núcleo nomeado</t>
  </si>
  <si>
    <t xml:space="preserve">Comunicar a equipe: objetivos (qualidade, escala, menos retrabalho), como o tempo será medido e o compromisso com as pessoas.</t>
  </si>
  <si>
    <t xml:space="preserve">Reunião realizada</t>
  </si>
  <si>
    <t xml:space="preserve">Preencher a aba Equipe e iniciar o Levantamento de Tempo (10 dias úteis).</t>
  </si>
  <si>
    <t xml:space="preserve">Coordenador fiscal</t>
  </si>
  <si>
    <t xml:space="preserve">Registros diários</t>
  </si>
  <si>
    <t xml:space="preserve">Agendar reunião com o gerente de contas da Thomson Reuters (roteiro na aba Roteiro de Reuniões).</t>
  </si>
  <si>
    <t xml:space="preserve">Reunião agendada</t>
  </si>
  <si>
    <t xml:space="preserve">Preencher o Cadastro Mestre de 100% das empresas (cada analista, a sua carteira).</t>
  </si>
  <si>
    <t xml:space="preserve">Analistas</t>
  </si>
  <si>
    <t xml:space="preserve">Cadastro completo</t>
  </si>
  <si>
    <t xml:space="preserve">Inventariar certificados (A1/A3), procurações do e-CAC e acessos estaduais/municipais.</t>
  </si>
  <si>
    <t xml:space="preserve">Pendências listadas</t>
  </si>
  <si>
    <t xml:space="preserve">Mapear o processo atual de 3 empresas-tipo: Simples comércio, Presumido serviços e regime normal de ICMS.</t>
  </si>
  <si>
    <t xml:space="preserve">Coordenador + 1 analista</t>
  </si>
  <si>
    <t xml:space="preserve">Fluxo atual desenhado</t>
  </si>
  <si>
    <t xml:space="preserve">Iniciar a campanha autXML: pedir aos clientes que incluam o CNPJ do escritório no campo autXML das NF-e que emitem.</t>
  </si>
  <si>
    <t xml:space="preserve">Coordenador + atendimento</t>
  </si>
  <si>
    <t xml:space="preserve">Comunicado enviado</t>
  </si>
  <si>
    <t xml:space="preserve">Reunião com a Thomson Reuters: registrar as respostas no roteiro.</t>
  </si>
  <si>
    <t xml:space="preserve">Roteiro respondido</t>
  </si>
  <si>
    <t xml:space="preserve">Pedir a chave da API da Domínio (api.dominio@tr.com), enviar XML de 1 empresa e testar a extração (EFD, Gerador de Relatórios e, se liberado, backup do banco).</t>
  </si>
  <si>
    <t xml:space="preserve">Analista de automação</t>
  </si>
  <si>
    <t xml:space="preserve">Envio e extração testados</t>
  </si>
  <si>
    <t xml:space="preserve">Contratar e testar o Integra Contador (SERPRO) com 2 empresas-piloto (procuração).</t>
  </si>
  <si>
    <t xml:space="preserve">Consulta PGDAS-D e caixa postal ok</t>
  </si>
  <si>
    <t xml:space="preserve">POCs: captura (2 parceiros homologados da API Domínio) e auditoria (Kolossus Auditor e 1 alternativa), usando o Catálogo de Auditorias como checklist de cobertura.</t>
  </si>
  <si>
    <t xml:space="preserve">Comparativo preenchido</t>
  </si>
  <si>
    <t xml:space="preserve">Selecionar 15 a 20 empresas-piloto (mistura de classes A, B e C).</t>
  </si>
  <si>
    <t xml:space="preserve">Lista do piloto</t>
  </si>
  <si>
    <t xml:space="preserve">Consolidar o baseline e atualizar o Business Case com os números reais.</t>
  </si>
  <si>
    <t xml:space="preserve">Baseline aprovado</t>
  </si>
  <si>
    <t xml:space="preserve">Decidir: execução (interno × contratado), o que comprar × construir, infraestrutura (local × nuvem) e orçamento.</t>
  </si>
  <si>
    <t xml:space="preserve">Decisões registradas</t>
  </si>
  <si>
    <t xml:space="preserve">Preparar o ambiente: servidor/VM, banco de dados, cofre de certificados e acesso ao repositório.</t>
  </si>
  <si>
    <t xml:space="preserve">Ambiente pronto</t>
  </si>
  <si>
    <t xml:space="preserve">Aprovar o backlog da Fase 1 (16 regras) e o calendário de fechamento do piloto.</t>
  </si>
  <si>
    <t xml:space="preserve">Kick-off da Fase 1</t>
  </si>
  <si>
    <t xml:space="preserve">Roteiro de reuniões da Fase 0</t>
  </si>
  <si>
    <t xml:space="preserve">Perguntas que decidem a arquitetura. Registre a resposta e quem respondeu.</t>
  </si>
  <si>
    <t xml:space="preserve">Com quem</t>
  </si>
  <si>
    <t xml:space="preserve">Pergunta</t>
  </si>
  <si>
    <t xml:space="preserve">Por que importa</t>
  </si>
  <si>
    <t xml:space="preserve">Resposta</t>
  </si>
  <si>
    <t xml:space="preserve">Respondido por / data</t>
  </si>
  <si>
    <t xml:space="preserve">Thomson Reuters</t>
  </si>
  <si>
    <t xml:space="preserve">API Onvio BR Accounting (Integração com ERP): custo, limites de volume e como ativar a chave de integração em todas as empresas. As Rotinas Automáticas importam sem usuário logado na versão Web?</t>
  </si>
  <si>
    <t xml:space="preserve">É a porta oficial de entrada de XML na Escrita Fiscal, sem robô de tela.</t>
  </si>
  <si>
    <t xml:space="preserve">Existe (ou está no roadmap) alguma API para LER dados: notas, itens, apurações, saldos?</t>
  </si>
  <si>
    <t xml:space="preserve">Hoje a API só envia dados para dentro da Domínio.</t>
  </si>
  <si>
    <t xml:space="preserve">Podemos restaurar os backups do nosso banco (Suporte &gt; Backup) em servidor próprio e ler via ODBC com usuário externo? Há exigência de licença do SQL Anywhere? Qual a frequência dos backups de modificações?</t>
  </si>
  <si>
    <t xml:space="preserve">É o caminho usado por fornecedores de BI para ter todos os dados da escrituração.</t>
  </si>
  <si>
    <t xml:space="preserve">Leiaute Importação Padrão (TXT com separador): documentação atual; aceita acumulador e CFOP por nota? Funciona igual na versão Web?</t>
  </si>
  <si>
    <t xml:space="preserve">Permite lançar documentos sem XML ou com classificação definida pelo nosso motor.</t>
  </si>
  <si>
    <t xml:space="preserve">Dá para gerar EFD e relatórios do Gerador de Relatórios em lote (várias empresas) e salvar em pasta mapeada?</t>
  </si>
  <si>
    <t xml:space="preserve">Plano B de extração se o backup não for liberado.</t>
  </si>
  <si>
    <t xml:space="preserve">É permitido usar robôs (RPA) na Domínio Web? Exige usuário/licença dedicada? Como tratar o MFA do login?</t>
  </si>
  <si>
    <t xml:space="preserve">A Domínio Web é transmitida por imagem (GraphOn): robô de tela é frágil e precisa de regra clara.</t>
  </si>
  <si>
    <t xml:space="preserve">Kolossus Auditor: quais cruzamentos cobre, custo por empresa, e se exporta os achados (Excel/API) para o nosso painel.</t>
  </si>
  <si>
    <t xml:space="preserve">Pode cobrir parte do catálogo sem desenvolvimento.</t>
  </si>
  <si>
    <t xml:space="preserve">Domínio Processos e Portal do Cliente estão no nosso pacote (One/Pro/Max)? Como encerram tarefas automaticamente?</t>
  </si>
  <si>
    <t xml:space="preserve">Evita contratar outra ferramenta de workflow.</t>
  </si>
  <si>
    <t xml:space="preserve">Cronograma da Domínio para CBS/IBS em 2026–2027: escrituração, apuração, Simples com IBS/CBS fora do DAS.</t>
  </si>
  <si>
    <t xml:space="preserve">A virada de janeiro/2027 muda regras e telas.</t>
  </si>
  <si>
    <t xml:space="preserve">Como somos avisados de mudanças de tela ou de leiaute nas atualizações?</t>
  </si>
  <si>
    <t xml:space="preserve">Robôs e importações quebram com mudanças não avisadas.</t>
  </si>
  <si>
    <t xml:space="preserve">SERPRO</t>
  </si>
  <si>
    <t xml:space="preserve">Integra Contador: confirmar os serviços do nosso caso (PGDAS-D, DEFIS, DCTFWeb/MIT, Caixa Postal, SITFIS, Pagamentos, Parcelamentos, Eventos de Atualização).</t>
  </si>
  <si>
    <t xml:space="preserve">Automatiza consultas e transmissões federais por API oficial.</t>
  </si>
  <si>
    <t xml:space="preserve">Tabela de preços vigente por faixa (consulta, emissão, declaração), contrato e prazo de ativação.</t>
  </si>
  <si>
    <t xml:space="preserve">Entra no Business Case.</t>
  </si>
  <si>
    <t xml:space="preserve">Requisitos: e-CNPJ do escritório, procuração eletrônica de cada cliente por código de serviço.</t>
  </si>
  <si>
    <t xml:space="preserve">Define a preparação com os clientes.</t>
  </si>
  <si>
    <t xml:space="preserve">Fornecedores de captura</t>
  </si>
  <si>
    <t xml:space="preserve">É parceiro homologado da API Domínio? Envia os XML direto para a Escrita Fiscal?</t>
  </si>
  <si>
    <t xml:space="preserve">Captura e entrada na Domínio sem passo manual.</t>
  </si>
  <si>
    <t xml:space="preserve">Cobertura: NF-e, NFC-e, CT-e, NFS-e (ADN e municípios fora do ADN), eventos de cancelamento e manifestação; notas emitidas pelo cliente (autXML).</t>
  </si>
  <si>
    <t xml:space="preserve">A SEFAZ não devolve ao emitente as próprias notas; captura incompleta gera falso 'faltante'.</t>
  </si>
  <si>
    <t xml:space="preserve">Captura com A1 do cliente, sem certificado (autXML) ou com A3? Como respeitam o limite da SEFAZ (bloqueio de 1 hora por consumo indevido)?</t>
  </si>
  <si>
    <t xml:space="preserve">Muitos clientes têm A3, que não serve para robôs.</t>
  </si>
  <si>
    <t xml:space="preserve">Exportação/API para o nosso banco: formatos, frequência, histórico de 5 anos.</t>
  </si>
  <si>
    <t xml:space="preserve">O hub de dados precisa receber tudo sem digitação.</t>
  </si>
  <si>
    <t xml:space="preserve">Preço por empresa/volume, contrato, LGPD (acordo de tratamento de dados) e onde os dados ficam.</t>
  </si>
  <si>
    <t xml:space="preserve">Custo e conformidade.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</si>
</sst>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;[RED]&quot;-R$ &quot;#,##0;\-"/>
    <numFmt numFmtId="166" formatCode="#,##0;\-#,##0;\-"/>
    <numFmt numFmtId="167" formatCode="dd/mm/yyyy"/>
    <numFmt numFmtId="168" formatCode="0.00"/>
    <numFmt numFmtId="169" formatCode="#,##0.0;\-#,##0.0;\-"/>
    <numFmt numFmtId="170" formatCode="0.0%;\-0.0%;\-"/>
    <numFmt numFmtId="171" formatCode="0.0&quot; FTE&quot;"/>
    <numFmt numFmtId="172" formatCode="0&quot; º mês&quot;"/>
    <numFmt numFmtId="173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6B4F"/>
      <name val="Arial"/>
      <family val="0"/>
      <charset val="1"/>
    </font>
    <font>
      <i val="true"/>
      <sz val="10"/>
      <color rgb="FF55635B"/>
      <name val="Arial"/>
      <family val="0"/>
      <charset val="1"/>
    </font>
    <font>
      <b val="true"/>
      <sz val="12"/>
      <color rgb="FF1D6B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8B2"/>
      </patternFill>
    </fill>
    <fill>
      <patternFill patternType="solid">
        <fgColor rgb="FFFFFF00"/>
        <bgColor rgb="FFFFFF00"/>
      </patternFill>
    </fill>
    <fill>
      <patternFill patternType="solid">
        <fgColor rgb="FF1D6B4F"/>
        <bgColor rgb="FF008080"/>
      </patternFill>
    </fill>
    <fill>
      <patternFill patternType="solid">
        <fgColor rgb="FFE7F0E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2"/>
      </left>
      <right style="thin">
        <color rgb="FFBFC9C2"/>
      </right>
      <top style="thin">
        <color rgb="FFBFC9C2"/>
      </top>
      <bottom style="thin">
        <color rgb="FFBFC9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0" fillId="5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D6B4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ill>
        <patternFill>
          <bgColor rgb="FFFCE8B2"/>
        </patternFill>
      </fill>
    </dxf>
    <dxf>
      <font>
        <name val="Arial"/>
        <charset val="1"/>
        <family val="0"/>
        <b val="1"/>
        <color rgb="FF1D6B4F"/>
      </font>
    </dxf>
    <dxf>
      <fill>
        <patternFill patternType="solid">
          <fgColor rgb="FFE7F0E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D6B4F"/>
      <rgbColor rgb="FFBFC9C2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F0E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5635B"/>
      <rgbColor rgb="FF8FB8A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4F"/>
    <pageSetUpPr fitToPage="false"/>
  </sheetPr>
  <dimension ref="A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 t="s">
        <v>14</v>
      </c>
      <c r="B11" s="5" t="s">
        <v>15</v>
      </c>
    </row>
    <row r="12" customFormat="false" ht="15" hidden="false" customHeight="false" outlineLevel="0" collapsed="false">
      <c r="A12" s="4" t="s">
        <v>16</v>
      </c>
      <c r="B12" s="5" t="s">
        <v>17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4" customFormat="false" ht="15" hidden="false" customHeight="false" outlineLevel="0" collapsed="false">
      <c r="A14" s="4" t="s">
        <v>20</v>
      </c>
      <c r="B14" s="5" t="s">
        <v>21</v>
      </c>
    </row>
    <row r="15" customFormat="false" ht="15" hidden="false" customHeight="false" outlineLevel="0" collapsed="false">
      <c r="A15" s="3" t="s">
        <v>22</v>
      </c>
    </row>
    <row r="16" customFormat="false" ht="15" hidden="false" customHeight="false" outlineLevel="0" collapsed="false">
      <c r="A16" s="6" t="s">
        <v>23</v>
      </c>
      <c r="B16" s="5" t="s">
        <v>24</v>
      </c>
    </row>
    <row r="17" customFormat="false" ht="15" hidden="false" customHeight="false" outlineLevel="0" collapsed="false">
      <c r="A17" s="7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  <row r="19" customFormat="false" ht="15" hidden="false" customHeight="false" outlineLevel="0" collapsed="false">
      <c r="A19" s="8" t="s">
        <v>29</v>
      </c>
      <c r="B19" s="5" t="s">
        <v>30</v>
      </c>
    </row>
    <row r="20" customFormat="false" ht="15" hidden="false" customHeight="false" outlineLevel="0" collapsed="false">
      <c r="A20" s="9" t="s">
        <v>31</v>
      </c>
      <c r="B20" s="5" t="s">
        <v>32</v>
      </c>
    </row>
    <row r="21" customFormat="false" ht="15" hidden="false" customHeight="false" outlineLevel="0" collapsed="false">
      <c r="A21" s="3" t="s">
        <v>33</v>
      </c>
    </row>
    <row r="22" customFormat="false" ht="15" hidden="false" customHeight="false" outlineLevel="0" collapsed="false">
      <c r="A22" s="4" t="s">
        <v>34</v>
      </c>
      <c r="B22" s="5" t="s">
        <v>35</v>
      </c>
    </row>
    <row r="23" customFormat="false" ht="15" hidden="false" customHeight="false" outlineLevel="0" collapsed="false">
      <c r="A23" s="4" t="s">
        <v>36</v>
      </c>
      <c r="B23" s="5" t="s">
        <v>37</v>
      </c>
    </row>
    <row r="24" customFormat="false" ht="15" hidden="false" customHeight="false" outlineLevel="0" collapsed="false">
      <c r="A24" s="4" t="s">
        <v>38</v>
      </c>
      <c r="B24" s="5" t="s">
        <v>39</v>
      </c>
    </row>
    <row r="25" customFormat="false" ht="15" hidden="false" customHeight="false" outlineLevel="0" collapsed="false">
      <c r="A25" s="4" t="s">
        <v>40</v>
      </c>
      <c r="B25" s="5" t="s">
        <v>41</v>
      </c>
    </row>
    <row r="26" customFormat="false" ht="15" hidden="false" customHeight="false" outlineLevel="0" collapsed="false">
      <c r="A26" s="4" t="s">
        <v>42</v>
      </c>
      <c r="B26" s="5" t="s">
        <v>43</v>
      </c>
    </row>
    <row r="27" customFormat="false" ht="15" hidden="false" customHeight="false" outlineLevel="0" collapsed="false">
      <c r="A27" s="4" t="s">
        <v>44</v>
      </c>
      <c r="B27" s="5" t="s">
        <v>45</v>
      </c>
    </row>
    <row r="28" customFormat="false" ht="15" hidden="false" customHeight="false" outlineLevel="0" collapsed="false">
      <c r="A28" s="4" t="s">
        <v>46</v>
      </c>
      <c r="B28" s="5" t="s">
        <v>47</v>
      </c>
    </row>
    <row r="29" customFormat="false" ht="15" hidden="false" customHeight="false" outlineLevel="0" collapsed="false">
      <c r="A29" s="3" t="s">
        <v>48</v>
      </c>
    </row>
    <row r="30" customFormat="false" ht="15" hidden="false" customHeight="false" outlineLevel="0" collapsed="false">
      <c r="A30" s="4" t="s">
        <v>49</v>
      </c>
      <c r="B30" s="5" t="s">
        <v>50</v>
      </c>
    </row>
    <row r="31" customFormat="false" ht="15" hidden="false" customHeight="false" outlineLevel="0" collapsed="false">
      <c r="A31" s="4" t="s">
        <v>51</v>
      </c>
      <c r="B31" s="5" t="s">
        <v>52</v>
      </c>
    </row>
    <row r="32" customFormat="false" ht="15" hidden="false" customHeight="false" outlineLevel="0" collapsed="false">
      <c r="A32" s="4" t="s">
        <v>53</v>
      </c>
      <c r="B32" s="5" t="s">
        <v>54</v>
      </c>
    </row>
    <row r="33" customFormat="false" ht="15" hidden="false" customHeight="false" outlineLevel="0" collapsed="false">
      <c r="A33" s="3" t="s">
        <v>55</v>
      </c>
    </row>
    <row r="34" customFormat="false" ht="15" hidden="false" customHeight="false" outlineLevel="0" collapsed="false">
      <c r="A34" s="4" t="s">
        <v>56</v>
      </c>
      <c r="B34" s="5" t="s">
        <v>57</v>
      </c>
    </row>
    <row r="35" customFormat="false" ht="15" hidden="false" customHeight="false" outlineLevel="0" collapsed="false">
      <c r="A35" s="4" t="s">
        <v>58</v>
      </c>
      <c r="B35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30" hidden="false" customHeight="true" outlineLevel="0" collapsed="false">
      <c r="A4" s="10" t="s">
        <v>62</v>
      </c>
      <c r="B4" s="10" t="s">
        <v>63</v>
      </c>
      <c r="C4" s="10" t="s">
        <v>64</v>
      </c>
      <c r="D4" s="10" t="s">
        <v>65</v>
      </c>
      <c r="E4" s="10" t="s">
        <v>66</v>
      </c>
      <c r="F4" s="10" t="s">
        <v>67</v>
      </c>
    </row>
    <row r="5" customFormat="false" ht="15" hidden="false" customHeight="false" outlineLevel="0" collapsed="false">
      <c r="A5" s="11" t="s">
        <v>68</v>
      </c>
      <c r="B5" s="11" t="s">
        <v>69</v>
      </c>
      <c r="C5" s="11" t="s">
        <v>70</v>
      </c>
      <c r="D5" s="12" t="n">
        <v>5200</v>
      </c>
      <c r="E5" s="11" t="s">
        <v>71</v>
      </c>
      <c r="F5" s="11" t="s">
        <v>72</v>
      </c>
    </row>
    <row r="6" customFormat="false" ht="15" hidden="false" customHeight="false" outlineLevel="0" collapsed="false">
      <c r="A6" s="13"/>
      <c r="B6" s="13"/>
      <c r="C6" s="13"/>
      <c r="D6" s="14"/>
      <c r="E6" s="13"/>
      <c r="F6" s="13"/>
    </row>
    <row r="7" customFormat="false" ht="15" hidden="false" customHeight="false" outlineLevel="0" collapsed="false">
      <c r="A7" s="13"/>
      <c r="B7" s="13"/>
      <c r="C7" s="13"/>
      <c r="D7" s="14"/>
      <c r="E7" s="13"/>
      <c r="F7" s="13"/>
    </row>
    <row r="8" customFormat="false" ht="15" hidden="false" customHeight="false" outlineLevel="0" collapsed="false">
      <c r="A8" s="13"/>
      <c r="B8" s="13"/>
      <c r="C8" s="13"/>
      <c r="D8" s="14"/>
      <c r="E8" s="13"/>
      <c r="F8" s="13"/>
    </row>
    <row r="9" customFormat="false" ht="15" hidden="false" customHeight="false" outlineLevel="0" collapsed="false">
      <c r="A9" s="13"/>
      <c r="B9" s="13"/>
      <c r="C9" s="13"/>
      <c r="D9" s="14"/>
      <c r="E9" s="13"/>
      <c r="F9" s="13"/>
    </row>
    <row r="10" customFormat="false" ht="15" hidden="false" customHeight="false" outlineLevel="0" collapsed="false">
      <c r="A10" s="13"/>
      <c r="B10" s="13"/>
      <c r="C10" s="13"/>
      <c r="D10" s="14"/>
      <c r="E10" s="13"/>
      <c r="F10" s="13"/>
    </row>
    <row r="11" customFormat="false" ht="15" hidden="false" customHeight="false" outlineLevel="0" collapsed="false">
      <c r="A11" s="13"/>
      <c r="B11" s="13"/>
      <c r="C11" s="13"/>
      <c r="D11" s="14"/>
      <c r="E11" s="13"/>
      <c r="F11" s="13"/>
    </row>
    <row r="12" customFormat="false" ht="15" hidden="false" customHeight="false" outlineLevel="0" collapsed="false">
      <c r="A12" s="13"/>
      <c r="B12" s="13"/>
      <c r="C12" s="13"/>
      <c r="D12" s="14"/>
      <c r="E12" s="13"/>
      <c r="F12" s="13"/>
    </row>
    <row r="13" customFormat="false" ht="15" hidden="false" customHeight="false" outlineLevel="0" collapsed="false">
      <c r="A13" s="13"/>
      <c r="B13" s="13"/>
      <c r="C13" s="13"/>
      <c r="D13" s="14"/>
      <c r="E13" s="13"/>
      <c r="F13" s="13"/>
    </row>
    <row r="14" customFormat="false" ht="15" hidden="false" customHeight="false" outlineLevel="0" collapsed="false">
      <c r="A14" s="13"/>
      <c r="B14" s="13"/>
      <c r="C14" s="13"/>
      <c r="D14" s="14"/>
      <c r="E14" s="13"/>
      <c r="F14" s="13"/>
    </row>
    <row r="15" customFormat="false" ht="15" hidden="false" customHeight="false" outlineLevel="0" collapsed="false">
      <c r="A15" s="13"/>
      <c r="B15" s="13"/>
      <c r="C15" s="13"/>
      <c r="D15" s="14"/>
      <c r="E15" s="13"/>
      <c r="F15" s="13"/>
    </row>
    <row r="16" customFormat="false" ht="15" hidden="false" customHeight="false" outlineLevel="0" collapsed="false">
      <c r="A16" s="13"/>
      <c r="B16" s="13"/>
      <c r="C16" s="13"/>
      <c r="D16" s="14"/>
      <c r="E16" s="13"/>
      <c r="F16" s="13"/>
    </row>
    <row r="17" customFormat="false" ht="15" hidden="false" customHeight="false" outlineLevel="0" collapsed="false">
      <c r="A17" s="13"/>
      <c r="B17" s="13"/>
      <c r="C17" s="13"/>
      <c r="D17" s="14"/>
      <c r="E17" s="13"/>
      <c r="F17" s="13"/>
    </row>
    <row r="18" customFormat="false" ht="15" hidden="false" customHeight="false" outlineLevel="0" collapsed="false">
      <c r="A18" s="13"/>
      <c r="B18" s="13"/>
      <c r="C18" s="13"/>
      <c r="D18" s="14"/>
      <c r="E18" s="13"/>
      <c r="F18" s="13"/>
    </row>
    <row r="19" customFormat="false" ht="15" hidden="false" customHeight="false" outlineLevel="0" collapsed="false">
      <c r="A19" s="13"/>
      <c r="B19" s="13"/>
      <c r="C19" s="13"/>
      <c r="D19" s="14"/>
      <c r="E19" s="13"/>
      <c r="F19" s="13"/>
    </row>
    <row r="20" customFormat="false" ht="15" hidden="false" customHeight="false" outlineLevel="0" collapsed="false">
      <c r="A20" s="13"/>
      <c r="B20" s="13"/>
      <c r="C20" s="13"/>
      <c r="D20" s="14"/>
      <c r="E20" s="13"/>
      <c r="F20" s="13"/>
    </row>
    <row r="21" customFormat="false" ht="15" hidden="false" customHeight="false" outlineLevel="0" collapsed="false">
      <c r="A21" s="13"/>
      <c r="B21" s="13"/>
      <c r="C21" s="13"/>
      <c r="D21" s="14"/>
      <c r="E21" s="13"/>
      <c r="F21" s="13"/>
    </row>
    <row r="22" customFormat="false" ht="15" hidden="false" customHeight="false" outlineLevel="0" collapsed="false">
      <c r="A22" s="13"/>
      <c r="B22" s="13"/>
      <c r="C22" s="13"/>
      <c r="D22" s="14"/>
      <c r="E22" s="13"/>
      <c r="F22" s="13"/>
    </row>
    <row r="23" customFormat="false" ht="15" hidden="false" customHeight="false" outlineLevel="0" collapsed="false">
      <c r="A23" s="13"/>
      <c r="B23" s="13"/>
      <c r="C23" s="13"/>
      <c r="D23" s="14"/>
      <c r="E23" s="13"/>
      <c r="F23" s="13"/>
    </row>
    <row r="24" customFormat="false" ht="15" hidden="false" customHeight="false" outlineLevel="0" collapsed="false">
      <c r="A24" s="13"/>
      <c r="B24" s="13"/>
      <c r="C24" s="13"/>
      <c r="D24" s="14"/>
      <c r="E24" s="13"/>
      <c r="F24" s="13"/>
    </row>
    <row r="26" customFormat="false" ht="15" hidden="false" customHeight="false" outlineLevel="0" collapsed="false">
      <c r="C26" s="15" t="s">
        <v>73</v>
      </c>
      <c r="D26" s="16" t="n">
        <f aca="false">IFERROR(AVERAGE(D6:D24),0)</f>
        <v>0</v>
      </c>
    </row>
  </sheetData>
  <dataValidations count="3">
    <dataValidation allowBlank="true" error="Escolha um valor da lista." errorStyle="stop" errorTitle="Valor inválido" operator="between" showDropDown="false" showErrorMessage="true" showInputMessage="false" sqref="B5:B24" type="list">
      <formula1>"Assistente,Analista,Analista sênior,Coordenador,Outro"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E5:E24" type="list">
      <formula1>"Básico,Excel avançado,Excel avançado / Power Query,SQL,Python,Outro"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F5:F24" type="list">
      <formula1>"S,N"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A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8" min="18" style="0" width="24"/>
    <col collapsed="false" customWidth="true" hidden="false" outlineLevel="0" max="19" min="19" style="0" width="11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3" min="22" style="0" width="13"/>
    <col collapsed="false" customWidth="true" hidden="false" outlineLevel="0" max="28" min="24" style="0" width="10"/>
    <col collapsed="false" customWidth="true" hidden="false" outlineLevel="0" max="29" min="29" style="0" width="16"/>
    <col collapsed="false" customWidth="true" hidden="false" outlineLevel="0" max="30" min="30" style="0" width="13"/>
    <col collapsed="false" customWidth="true" hidden="false" outlineLevel="0" max="31" min="31" style="0" width="22"/>
    <col collapsed="false" customWidth="true" hidden="false" outlineLevel="0" max="32" min="32" style="0" width="12"/>
    <col collapsed="false" customWidth="true" hidden="false" outlineLevel="0" max="33" min="33" style="0" width="34"/>
  </cols>
  <sheetData>
    <row r="1" customFormat="false" ht="18.5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43.5" hidden="false" customHeight="true" outlineLevel="0" collapsed="false">
      <c r="A4" s="10" t="s">
        <v>76</v>
      </c>
      <c r="B4" s="10" t="s">
        <v>77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 t="s">
        <v>84</v>
      </c>
      <c r="J4" s="10" t="s">
        <v>85</v>
      </c>
      <c r="K4" s="10" t="s">
        <v>86</v>
      </c>
      <c r="L4" s="10" t="s">
        <v>87</v>
      </c>
      <c r="M4" s="10" t="s">
        <v>88</v>
      </c>
      <c r="N4" s="10" t="s">
        <v>89</v>
      </c>
      <c r="O4" s="10" t="s">
        <v>90</v>
      </c>
      <c r="P4" s="10" t="s">
        <v>91</v>
      </c>
      <c r="Q4" s="10" t="s">
        <v>92</v>
      </c>
      <c r="R4" s="10" t="s">
        <v>93</v>
      </c>
      <c r="S4" s="10" t="s">
        <v>94</v>
      </c>
      <c r="T4" s="10" t="s">
        <v>95</v>
      </c>
      <c r="U4" s="10" t="s">
        <v>96</v>
      </c>
      <c r="V4" s="10" t="s">
        <v>97</v>
      </c>
      <c r="W4" s="10" t="s">
        <v>98</v>
      </c>
      <c r="X4" s="10" t="s">
        <v>99</v>
      </c>
      <c r="Y4" s="10" t="s">
        <v>100</v>
      </c>
      <c r="Z4" s="10" t="s">
        <v>101</v>
      </c>
      <c r="AA4" s="10" t="s">
        <v>102</v>
      </c>
      <c r="AB4" s="10" t="s">
        <v>103</v>
      </c>
      <c r="AC4" s="10" t="s">
        <v>104</v>
      </c>
      <c r="AD4" s="10" t="s">
        <v>105</v>
      </c>
      <c r="AE4" s="10" t="s">
        <v>106</v>
      </c>
      <c r="AF4" s="10" t="s">
        <v>107</v>
      </c>
      <c r="AG4" s="10" t="s">
        <v>108</v>
      </c>
    </row>
    <row r="5" customFormat="false" ht="15" hidden="false" customHeight="false" outlineLevel="0" collapsed="false">
      <c r="A5" s="11" t="n">
        <v>101</v>
      </c>
      <c r="B5" s="11" t="s">
        <v>109</v>
      </c>
      <c r="C5" s="11" t="s">
        <v>110</v>
      </c>
      <c r="D5" s="11" t="s">
        <v>111</v>
      </c>
      <c r="E5" s="11" t="s">
        <v>112</v>
      </c>
      <c r="F5" s="11" t="s">
        <v>113</v>
      </c>
      <c r="G5" s="11" t="s">
        <v>114</v>
      </c>
      <c r="H5" s="11" t="s">
        <v>72</v>
      </c>
      <c r="I5" s="11" t="s">
        <v>72</v>
      </c>
      <c r="J5" s="17" t="n">
        <v>180</v>
      </c>
      <c r="K5" s="17" t="n">
        <v>95</v>
      </c>
      <c r="L5" s="17" t="n">
        <v>4</v>
      </c>
      <c r="M5" s="17" t="n">
        <v>6</v>
      </c>
      <c r="N5" s="18" t="n">
        <f aca="false">IF(C5="","",SUM(J5:M5))</f>
        <v>285</v>
      </c>
      <c r="O5" s="19" t="str">
        <f aca="false">IF(C5="","",IF(OR(D5="Lucro Real",E5="Indústria",N5&gt;500),"A",IF(OR(D5="Lucro Presumido",I5="S",N5&gt;=100),"B","C")))</f>
        <v>B</v>
      </c>
      <c r="P5" s="11"/>
      <c r="Q5" s="19" t="str">
        <f aca="false">IF(C5="","",IF(P5&lt;&gt;"",P5,O5))</f>
        <v>B</v>
      </c>
      <c r="R5" s="11" t="s">
        <v>68</v>
      </c>
      <c r="S5" s="11" t="s">
        <v>115</v>
      </c>
      <c r="T5" s="20" t="n">
        <v>46461</v>
      </c>
      <c r="U5" s="18" t="n">
        <f aca="true">IF(T5="","",T5-TODAY())</f>
        <v>170</v>
      </c>
      <c r="V5" s="11" t="s">
        <v>72</v>
      </c>
      <c r="W5" s="20" t="n">
        <v>46630</v>
      </c>
      <c r="X5" s="11" t="s">
        <v>72</v>
      </c>
      <c r="Y5" s="11" t="s">
        <v>72</v>
      </c>
      <c r="Z5" s="11" t="s">
        <v>116</v>
      </c>
      <c r="AA5" s="11" t="s">
        <v>116</v>
      </c>
      <c r="AB5" s="11" t="s">
        <v>116</v>
      </c>
      <c r="AC5" s="11" t="s">
        <v>117</v>
      </c>
      <c r="AD5" s="11" t="s">
        <v>116</v>
      </c>
      <c r="AE5" s="11"/>
      <c r="AF5" s="11" t="s">
        <v>118</v>
      </c>
      <c r="AG5" s="11" t="s">
        <v>119</v>
      </c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2"/>
      <c r="K6" s="22"/>
      <c r="L6" s="22"/>
      <c r="M6" s="22"/>
      <c r="N6" s="23" t="str">
        <f aca="false">IF(C6="","",SUM(J6:M6))</f>
        <v/>
      </c>
      <c r="O6" s="24" t="str">
        <f aca="false">IF(C6="","",IF(OR(D6="Lucro Real",E6="Indústria",N6&gt;500),"A",IF(OR(D6="Lucro Presumido",I6="S",N6&gt;=100),"B","C")))</f>
        <v/>
      </c>
      <c r="P6" s="21"/>
      <c r="Q6" s="24" t="str">
        <f aca="false">IF(C6="","",IF(P6&lt;&gt;"",P6,O6))</f>
        <v/>
      </c>
      <c r="R6" s="21"/>
      <c r="S6" s="21"/>
      <c r="T6" s="25"/>
      <c r="U6" s="23" t="str">
        <f aca="true">IF(T6="","",T6-TODAY())</f>
        <v/>
      </c>
      <c r="V6" s="21"/>
      <c r="W6" s="25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customFormat="false" ht="15" hidden="false" customHeight="fals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2"/>
      <c r="K7" s="22"/>
      <c r="L7" s="22"/>
      <c r="M7" s="22"/>
      <c r="N7" s="23" t="str">
        <f aca="false">IF(C7="","",SUM(J7:M7))</f>
        <v/>
      </c>
      <c r="O7" s="24" t="str">
        <f aca="false">IF(C7="","",IF(OR(D7="Lucro Real",E7="Indústria",N7&gt;500),"A",IF(OR(D7="Lucro Presumido",I7="S",N7&gt;=100),"B","C")))</f>
        <v/>
      </c>
      <c r="P7" s="21"/>
      <c r="Q7" s="24" t="str">
        <f aca="false">IF(C7="","",IF(P7&lt;&gt;"",P7,O7))</f>
        <v/>
      </c>
      <c r="R7" s="21"/>
      <c r="S7" s="21"/>
      <c r="T7" s="25"/>
      <c r="U7" s="23" t="str">
        <f aca="true">IF(T7="","",T7-TODAY())</f>
        <v/>
      </c>
      <c r="V7" s="21"/>
      <c r="W7" s="25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2"/>
      <c r="K8" s="22"/>
      <c r="L8" s="22"/>
      <c r="M8" s="22"/>
      <c r="N8" s="23" t="str">
        <f aca="false">IF(C8="","",SUM(J8:M8))</f>
        <v/>
      </c>
      <c r="O8" s="24" t="str">
        <f aca="false">IF(C8="","",IF(OR(D8="Lucro Real",E8="Indústria",N8&gt;500),"A",IF(OR(D8="Lucro Presumido",I8="S",N8&gt;=100),"B","C")))</f>
        <v/>
      </c>
      <c r="P8" s="21"/>
      <c r="Q8" s="24" t="str">
        <f aca="false">IF(C8="","",IF(P8&lt;&gt;"",P8,O8))</f>
        <v/>
      </c>
      <c r="R8" s="21"/>
      <c r="S8" s="21"/>
      <c r="T8" s="25"/>
      <c r="U8" s="23" t="str">
        <f aca="true">IF(T8="","",T8-TODAY())</f>
        <v/>
      </c>
      <c r="V8" s="21"/>
      <c r="W8" s="25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2"/>
      <c r="K9" s="22"/>
      <c r="L9" s="22"/>
      <c r="M9" s="22"/>
      <c r="N9" s="23" t="str">
        <f aca="false">IF(C9="","",SUM(J9:M9))</f>
        <v/>
      </c>
      <c r="O9" s="24" t="str">
        <f aca="false">IF(C9="","",IF(OR(D9="Lucro Real",E9="Indústria",N9&gt;500),"A",IF(OR(D9="Lucro Presumido",I9="S",N9&gt;=100),"B","C")))</f>
        <v/>
      </c>
      <c r="P9" s="21"/>
      <c r="Q9" s="24" t="str">
        <f aca="false">IF(C9="","",IF(P9&lt;&gt;"",P9,O9))</f>
        <v/>
      </c>
      <c r="R9" s="21"/>
      <c r="S9" s="21"/>
      <c r="T9" s="25"/>
      <c r="U9" s="23" t="str">
        <f aca="true">IF(T9="","",T9-TODAY())</f>
        <v/>
      </c>
      <c r="V9" s="21"/>
      <c r="W9" s="25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2"/>
      <c r="K10" s="22"/>
      <c r="L10" s="22"/>
      <c r="M10" s="22"/>
      <c r="N10" s="23" t="str">
        <f aca="false">IF(C10="","",SUM(J10:M10))</f>
        <v/>
      </c>
      <c r="O10" s="24" t="str">
        <f aca="false">IF(C10="","",IF(OR(D10="Lucro Real",E10="Indústria",N10&gt;500),"A",IF(OR(D10="Lucro Presumido",I10="S",N10&gt;=100),"B","C")))</f>
        <v/>
      </c>
      <c r="P10" s="21"/>
      <c r="Q10" s="24" t="str">
        <f aca="false">IF(C10="","",IF(P10&lt;&gt;"",P10,O10))</f>
        <v/>
      </c>
      <c r="R10" s="21"/>
      <c r="S10" s="21"/>
      <c r="T10" s="25"/>
      <c r="U10" s="23" t="str">
        <f aca="true">IF(T10="","",T10-TODAY())</f>
        <v/>
      </c>
      <c r="V10" s="21"/>
      <c r="W10" s="25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2"/>
      <c r="L11" s="22"/>
      <c r="M11" s="22"/>
      <c r="N11" s="23" t="str">
        <f aca="false">IF(C11="","",SUM(J11:M11))</f>
        <v/>
      </c>
      <c r="O11" s="24" t="str">
        <f aca="false">IF(C11="","",IF(OR(D11="Lucro Real",E11="Indústria",N11&gt;500),"A",IF(OR(D11="Lucro Presumido",I11="S",N11&gt;=100),"B","C")))</f>
        <v/>
      </c>
      <c r="P11" s="21"/>
      <c r="Q11" s="24" t="str">
        <f aca="false">IF(C11="","",IF(P11&lt;&gt;"",P11,O11))</f>
        <v/>
      </c>
      <c r="R11" s="21"/>
      <c r="S11" s="21"/>
      <c r="T11" s="25"/>
      <c r="U11" s="23" t="str">
        <f aca="true">IF(T11="","",T11-TODAY())</f>
        <v/>
      </c>
      <c r="V11" s="21"/>
      <c r="W11" s="25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2"/>
      <c r="K12" s="22"/>
      <c r="L12" s="22"/>
      <c r="M12" s="22"/>
      <c r="N12" s="23" t="str">
        <f aca="false">IF(C12="","",SUM(J12:M12))</f>
        <v/>
      </c>
      <c r="O12" s="24" t="str">
        <f aca="false">IF(C12="","",IF(OR(D12="Lucro Real",E12="Indústria",N12&gt;500),"A",IF(OR(D12="Lucro Presumido",I12="S",N12&gt;=100),"B","C")))</f>
        <v/>
      </c>
      <c r="P12" s="21"/>
      <c r="Q12" s="24" t="str">
        <f aca="false">IF(C12="","",IF(P12&lt;&gt;"",P12,O12))</f>
        <v/>
      </c>
      <c r="R12" s="21"/>
      <c r="S12" s="21"/>
      <c r="T12" s="25"/>
      <c r="U12" s="23" t="str">
        <f aca="true">IF(T12="","",T12-TODAY())</f>
        <v/>
      </c>
      <c r="V12" s="21"/>
      <c r="W12" s="25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2"/>
      <c r="K13" s="22"/>
      <c r="L13" s="22"/>
      <c r="M13" s="22"/>
      <c r="N13" s="23" t="str">
        <f aca="false">IF(C13="","",SUM(J13:M13))</f>
        <v/>
      </c>
      <c r="O13" s="24" t="str">
        <f aca="false">IF(C13="","",IF(OR(D13="Lucro Real",E13="Indústria",N13&gt;500),"A",IF(OR(D13="Lucro Presumido",I13="S",N13&gt;=100),"B","C")))</f>
        <v/>
      </c>
      <c r="P13" s="21"/>
      <c r="Q13" s="24" t="str">
        <f aca="false">IF(C13="","",IF(P13&lt;&gt;"",P13,O13))</f>
        <v/>
      </c>
      <c r="R13" s="21"/>
      <c r="S13" s="21"/>
      <c r="T13" s="25"/>
      <c r="U13" s="23" t="str">
        <f aca="true">IF(T13="","",T13-TODAY())</f>
        <v/>
      </c>
      <c r="V13" s="21"/>
      <c r="W13" s="25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2"/>
      <c r="K14" s="22"/>
      <c r="L14" s="22"/>
      <c r="M14" s="22"/>
      <c r="N14" s="23" t="str">
        <f aca="false">IF(C14="","",SUM(J14:M14))</f>
        <v/>
      </c>
      <c r="O14" s="24" t="str">
        <f aca="false">IF(C14="","",IF(OR(D14="Lucro Real",E14="Indústria",N14&gt;500),"A",IF(OR(D14="Lucro Presumido",I14="S",N14&gt;=100),"B","C")))</f>
        <v/>
      </c>
      <c r="P14" s="21"/>
      <c r="Q14" s="24" t="str">
        <f aca="false">IF(C14="","",IF(P14&lt;&gt;"",P14,O14))</f>
        <v/>
      </c>
      <c r="R14" s="21"/>
      <c r="S14" s="21"/>
      <c r="T14" s="25"/>
      <c r="U14" s="23" t="str">
        <f aca="true">IF(T14="","",T14-TODAY())</f>
        <v/>
      </c>
      <c r="V14" s="21"/>
      <c r="W14" s="25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2"/>
      <c r="K15" s="22"/>
      <c r="L15" s="22"/>
      <c r="M15" s="22"/>
      <c r="N15" s="23" t="str">
        <f aca="false">IF(C15="","",SUM(J15:M15))</f>
        <v/>
      </c>
      <c r="O15" s="24" t="str">
        <f aca="false">IF(C15="","",IF(OR(D15="Lucro Real",E15="Indústria",N15&gt;500),"A",IF(OR(D15="Lucro Presumido",I15="S",N15&gt;=100),"B","C")))</f>
        <v/>
      </c>
      <c r="P15" s="21"/>
      <c r="Q15" s="24" t="str">
        <f aca="false">IF(C15="","",IF(P15&lt;&gt;"",P15,O15))</f>
        <v/>
      </c>
      <c r="R15" s="21"/>
      <c r="S15" s="21"/>
      <c r="T15" s="25"/>
      <c r="U15" s="23" t="str">
        <f aca="true">IF(T15="","",T15-TODAY())</f>
        <v/>
      </c>
      <c r="V15" s="21"/>
      <c r="W15" s="25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2"/>
      <c r="K16" s="22"/>
      <c r="L16" s="22"/>
      <c r="M16" s="22"/>
      <c r="N16" s="23" t="str">
        <f aca="false">IF(C16="","",SUM(J16:M16))</f>
        <v/>
      </c>
      <c r="O16" s="24" t="str">
        <f aca="false">IF(C16="","",IF(OR(D16="Lucro Real",E16="Indústria",N16&gt;500),"A",IF(OR(D16="Lucro Presumido",I16="S",N16&gt;=100),"B","C")))</f>
        <v/>
      </c>
      <c r="P16" s="21"/>
      <c r="Q16" s="24" t="str">
        <f aca="false">IF(C16="","",IF(P16&lt;&gt;"",P16,O16))</f>
        <v/>
      </c>
      <c r="R16" s="21"/>
      <c r="S16" s="21"/>
      <c r="T16" s="25"/>
      <c r="U16" s="23" t="str">
        <f aca="true">IF(T16="","",T16-TODAY())</f>
        <v/>
      </c>
      <c r="V16" s="21"/>
      <c r="W16" s="25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2"/>
      <c r="K17" s="22"/>
      <c r="L17" s="22"/>
      <c r="M17" s="22"/>
      <c r="N17" s="23" t="str">
        <f aca="false">IF(C17="","",SUM(J17:M17))</f>
        <v/>
      </c>
      <c r="O17" s="24" t="str">
        <f aca="false">IF(C17="","",IF(OR(D17="Lucro Real",E17="Indústria",N17&gt;500),"A",IF(OR(D17="Lucro Presumido",I17="S",N17&gt;=100),"B","C")))</f>
        <v/>
      </c>
      <c r="P17" s="21"/>
      <c r="Q17" s="24" t="str">
        <f aca="false">IF(C17="","",IF(P17&lt;&gt;"",P17,O17))</f>
        <v/>
      </c>
      <c r="R17" s="21"/>
      <c r="S17" s="21"/>
      <c r="T17" s="25"/>
      <c r="U17" s="23" t="str">
        <f aca="true">IF(T17="","",T17-TODAY())</f>
        <v/>
      </c>
      <c r="V17" s="21"/>
      <c r="W17" s="25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2"/>
      <c r="K18" s="22"/>
      <c r="L18" s="22"/>
      <c r="M18" s="22"/>
      <c r="N18" s="23" t="str">
        <f aca="false">IF(C18="","",SUM(J18:M18))</f>
        <v/>
      </c>
      <c r="O18" s="24" t="str">
        <f aca="false">IF(C18="","",IF(OR(D18="Lucro Real",E18="Indústria",N18&gt;500),"A",IF(OR(D18="Lucro Presumido",I18="S",N18&gt;=100),"B","C")))</f>
        <v/>
      </c>
      <c r="P18" s="21"/>
      <c r="Q18" s="24" t="str">
        <f aca="false">IF(C18="","",IF(P18&lt;&gt;"",P18,O18))</f>
        <v/>
      </c>
      <c r="R18" s="21"/>
      <c r="S18" s="21"/>
      <c r="T18" s="25"/>
      <c r="U18" s="23" t="str">
        <f aca="true">IF(T18="","",T18-TODAY())</f>
        <v/>
      </c>
      <c r="V18" s="21"/>
      <c r="W18" s="25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2"/>
      <c r="K19" s="22"/>
      <c r="L19" s="22"/>
      <c r="M19" s="22"/>
      <c r="N19" s="23" t="str">
        <f aca="false">IF(C19="","",SUM(J19:M19))</f>
        <v/>
      </c>
      <c r="O19" s="24" t="str">
        <f aca="false">IF(C19="","",IF(OR(D19="Lucro Real",E19="Indústria",N19&gt;500),"A",IF(OR(D19="Lucro Presumido",I19="S",N19&gt;=100),"B","C")))</f>
        <v/>
      </c>
      <c r="P19" s="21"/>
      <c r="Q19" s="24" t="str">
        <f aca="false">IF(C19="","",IF(P19&lt;&gt;"",P19,O19))</f>
        <v/>
      </c>
      <c r="R19" s="21"/>
      <c r="S19" s="21"/>
      <c r="T19" s="25"/>
      <c r="U19" s="23" t="str">
        <f aca="true">IF(T19="","",T19-TODAY())</f>
        <v/>
      </c>
      <c r="V19" s="21"/>
      <c r="W19" s="25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2"/>
      <c r="K20" s="22"/>
      <c r="L20" s="22"/>
      <c r="M20" s="22"/>
      <c r="N20" s="23" t="str">
        <f aca="false">IF(C20="","",SUM(J20:M20))</f>
        <v/>
      </c>
      <c r="O20" s="24" t="str">
        <f aca="false">IF(C20="","",IF(OR(D20="Lucro Real",E20="Indústria",N20&gt;500),"A",IF(OR(D20="Lucro Presumido",I20="S",N20&gt;=100),"B","C")))</f>
        <v/>
      </c>
      <c r="P20" s="21"/>
      <c r="Q20" s="24" t="str">
        <f aca="false">IF(C20="","",IF(P20&lt;&gt;"",P20,O20))</f>
        <v/>
      </c>
      <c r="R20" s="21"/>
      <c r="S20" s="21"/>
      <c r="T20" s="25"/>
      <c r="U20" s="23" t="str">
        <f aca="true">IF(T20="","",T20-TODAY())</f>
        <v/>
      </c>
      <c r="V20" s="21"/>
      <c r="W20" s="25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2"/>
      <c r="K21" s="22"/>
      <c r="L21" s="22"/>
      <c r="M21" s="22"/>
      <c r="N21" s="23" t="str">
        <f aca="false">IF(C21="","",SUM(J21:M21))</f>
        <v/>
      </c>
      <c r="O21" s="24" t="str">
        <f aca="false">IF(C21="","",IF(OR(D21="Lucro Real",E21="Indústria",N21&gt;500),"A",IF(OR(D21="Lucro Presumido",I21="S",N21&gt;=100),"B","C")))</f>
        <v/>
      </c>
      <c r="P21" s="21"/>
      <c r="Q21" s="24" t="str">
        <f aca="false">IF(C21="","",IF(P21&lt;&gt;"",P21,O21))</f>
        <v/>
      </c>
      <c r="R21" s="21"/>
      <c r="S21" s="21"/>
      <c r="T21" s="25"/>
      <c r="U21" s="23" t="str">
        <f aca="true">IF(T21="","",T21-TODAY())</f>
        <v/>
      </c>
      <c r="V21" s="21"/>
      <c r="W21" s="25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2"/>
      <c r="K22" s="22"/>
      <c r="L22" s="22"/>
      <c r="M22" s="22"/>
      <c r="N22" s="23" t="str">
        <f aca="false">IF(C22="","",SUM(J22:M22))</f>
        <v/>
      </c>
      <c r="O22" s="24" t="str">
        <f aca="false">IF(C22="","",IF(OR(D22="Lucro Real",E22="Indústria",N22&gt;500),"A",IF(OR(D22="Lucro Presumido",I22="S",N22&gt;=100),"B","C")))</f>
        <v/>
      </c>
      <c r="P22" s="21"/>
      <c r="Q22" s="24" t="str">
        <f aca="false">IF(C22="","",IF(P22&lt;&gt;"",P22,O22))</f>
        <v/>
      </c>
      <c r="R22" s="21"/>
      <c r="S22" s="21"/>
      <c r="T22" s="25"/>
      <c r="U22" s="23" t="str">
        <f aca="true">IF(T22="","",T22-TODAY())</f>
        <v/>
      </c>
      <c r="V22" s="21"/>
      <c r="W22" s="25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2"/>
      <c r="K23" s="22"/>
      <c r="L23" s="22"/>
      <c r="M23" s="22"/>
      <c r="N23" s="23" t="str">
        <f aca="false">IF(C23="","",SUM(J23:M23))</f>
        <v/>
      </c>
      <c r="O23" s="24" t="str">
        <f aca="false">IF(C23="","",IF(OR(D23="Lucro Real",E23="Indústria",N23&gt;500),"A",IF(OR(D23="Lucro Presumido",I23="S",N23&gt;=100),"B","C")))</f>
        <v/>
      </c>
      <c r="P23" s="21"/>
      <c r="Q23" s="24" t="str">
        <f aca="false">IF(C23="","",IF(P23&lt;&gt;"",P23,O23))</f>
        <v/>
      </c>
      <c r="R23" s="21"/>
      <c r="S23" s="21"/>
      <c r="T23" s="25"/>
      <c r="U23" s="23" t="str">
        <f aca="true">IF(T23="","",T23-TODAY())</f>
        <v/>
      </c>
      <c r="V23" s="21"/>
      <c r="W23" s="25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2"/>
      <c r="K24" s="22"/>
      <c r="L24" s="22"/>
      <c r="M24" s="22"/>
      <c r="N24" s="23" t="str">
        <f aca="false">IF(C24="","",SUM(J24:M24))</f>
        <v/>
      </c>
      <c r="O24" s="24" t="str">
        <f aca="false">IF(C24="","",IF(OR(D24="Lucro Real",E24="Indústria",N24&gt;500),"A",IF(OR(D24="Lucro Presumido",I24="S",N24&gt;=100),"B","C")))</f>
        <v/>
      </c>
      <c r="P24" s="21"/>
      <c r="Q24" s="24" t="str">
        <f aca="false">IF(C24="","",IF(P24&lt;&gt;"",P24,O24))</f>
        <v/>
      </c>
      <c r="R24" s="21"/>
      <c r="S24" s="21"/>
      <c r="T24" s="25"/>
      <c r="U24" s="23" t="str">
        <f aca="true">IF(T24="","",T24-TODAY())</f>
        <v/>
      </c>
      <c r="V24" s="21"/>
      <c r="W24" s="25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2"/>
      <c r="K25" s="22"/>
      <c r="L25" s="22"/>
      <c r="M25" s="22"/>
      <c r="N25" s="23" t="str">
        <f aca="false">IF(C25="","",SUM(J25:M25))</f>
        <v/>
      </c>
      <c r="O25" s="24" t="str">
        <f aca="false">IF(C25="","",IF(OR(D25="Lucro Real",E25="Indústria",N25&gt;500),"A",IF(OR(D25="Lucro Presumido",I25="S",N25&gt;=100),"B","C")))</f>
        <v/>
      </c>
      <c r="P25" s="21"/>
      <c r="Q25" s="24" t="str">
        <f aca="false">IF(C25="","",IF(P25&lt;&gt;"",P25,O25))</f>
        <v/>
      </c>
      <c r="R25" s="21"/>
      <c r="S25" s="21"/>
      <c r="T25" s="25"/>
      <c r="U25" s="23" t="str">
        <f aca="true">IF(T25="","",T25-TODAY())</f>
        <v/>
      </c>
      <c r="V25" s="21"/>
      <c r="W25" s="25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2"/>
      <c r="K26" s="22"/>
      <c r="L26" s="22"/>
      <c r="M26" s="22"/>
      <c r="N26" s="23" t="str">
        <f aca="false">IF(C26="","",SUM(J26:M26))</f>
        <v/>
      </c>
      <c r="O26" s="24" t="str">
        <f aca="false">IF(C26="","",IF(OR(D26="Lucro Real",E26="Indústria",N26&gt;500),"A",IF(OR(D26="Lucro Presumido",I26="S",N26&gt;=100),"B","C")))</f>
        <v/>
      </c>
      <c r="P26" s="21"/>
      <c r="Q26" s="24" t="str">
        <f aca="false">IF(C26="","",IF(P26&lt;&gt;"",P26,O26))</f>
        <v/>
      </c>
      <c r="R26" s="21"/>
      <c r="S26" s="21"/>
      <c r="T26" s="25"/>
      <c r="U26" s="23" t="str">
        <f aca="true">IF(T26="","",T26-TODAY())</f>
        <v/>
      </c>
      <c r="V26" s="21"/>
      <c r="W26" s="25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2"/>
      <c r="K27" s="22"/>
      <c r="L27" s="22"/>
      <c r="M27" s="22"/>
      <c r="N27" s="23" t="str">
        <f aca="false">IF(C27="","",SUM(J27:M27))</f>
        <v/>
      </c>
      <c r="O27" s="24" t="str">
        <f aca="false">IF(C27="","",IF(OR(D27="Lucro Real",E27="Indústria",N27&gt;500),"A",IF(OR(D27="Lucro Presumido",I27="S",N27&gt;=100),"B","C")))</f>
        <v/>
      </c>
      <c r="P27" s="21"/>
      <c r="Q27" s="24" t="str">
        <f aca="false">IF(C27="","",IF(P27&lt;&gt;"",P27,O27))</f>
        <v/>
      </c>
      <c r="R27" s="21"/>
      <c r="S27" s="21"/>
      <c r="T27" s="25"/>
      <c r="U27" s="23" t="str">
        <f aca="true">IF(T27="","",T27-TODAY())</f>
        <v/>
      </c>
      <c r="V27" s="21"/>
      <c r="W27" s="25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2"/>
      <c r="K28" s="22"/>
      <c r="L28" s="22"/>
      <c r="M28" s="22"/>
      <c r="N28" s="23" t="str">
        <f aca="false">IF(C28="","",SUM(J28:M28))</f>
        <v/>
      </c>
      <c r="O28" s="24" t="str">
        <f aca="false">IF(C28="","",IF(OR(D28="Lucro Real",E28="Indústria",N28&gt;500),"A",IF(OR(D28="Lucro Presumido",I28="S",N28&gt;=100),"B","C")))</f>
        <v/>
      </c>
      <c r="P28" s="21"/>
      <c r="Q28" s="24" t="str">
        <f aca="false">IF(C28="","",IF(P28&lt;&gt;"",P28,O28))</f>
        <v/>
      </c>
      <c r="R28" s="21"/>
      <c r="S28" s="21"/>
      <c r="T28" s="25"/>
      <c r="U28" s="23" t="str">
        <f aca="true">IF(T28="","",T28-TODAY())</f>
        <v/>
      </c>
      <c r="V28" s="21"/>
      <c r="W28" s="25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2"/>
      <c r="K29" s="22"/>
      <c r="L29" s="22"/>
      <c r="M29" s="22"/>
      <c r="N29" s="23" t="str">
        <f aca="false">IF(C29="","",SUM(J29:M29))</f>
        <v/>
      </c>
      <c r="O29" s="24" t="str">
        <f aca="false">IF(C29="","",IF(OR(D29="Lucro Real",E29="Indústria",N29&gt;500),"A",IF(OR(D29="Lucro Presumido",I29="S",N29&gt;=100),"B","C")))</f>
        <v/>
      </c>
      <c r="P29" s="21"/>
      <c r="Q29" s="24" t="str">
        <f aca="false">IF(C29="","",IF(P29&lt;&gt;"",P29,O29))</f>
        <v/>
      </c>
      <c r="R29" s="21"/>
      <c r="S29" s="21"/>
      <c r="T29" s="25"/>
      <c r="U29" s="23" t="str">
        <f aca="true">IF(T29="","",T29-TODAY())</f>
        <v/>
      </c>
      <c r="V29" s="21"/>
      <c r="W29" s="25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2"/>
      <c r="K30" s="22"/>
      <c r="L30" s="22"/>
      <c r="M30" s="22"/>
      <c r="N30" s="23" t="str">
        <f aca="false">IF(C30="","",SUM(J30:M30))</f>
        <v/>
      </c>
      <c r="O30" s="24" t="str">
        <f aca="false">IF(C30="","",IF(OR(D30="Lucro Real",E30="Indústria",N30&gt;500),"A",IF(OR(D30="Lucro Presumido",I30="S",N30&gt;=100),"B","C")))</f>
        <v/>
      </c>
      <c r="P30" s="21"/>
      <c r="Q30" s="24" t="str">
        <f aca="false">IF(C30="","",IF(P30&lt;&gt;"",P30,O30))</f>
        <v/>
      </c>
      <c r="R30" s="21"/>
      <c r="S30" s="21"/>
      <c r="T30" s="25"/>
      <c r="U30" s="23" t="str">
        <f aca="true">IF(T30="","",T30-TODAY())</f>
        <v/>
      </c>
      <c r="V30" s="21"/>
      <c r="W30" s="25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2"/>
      <c r="K31" s="22"/>
      <c r="L31" s="22"/>
      <c r="M31" s="22"/>
      <c r="N31" s="23" t="str">
        <f aca="false">IF(C31="","",SUM(J31:M31))</f>
        <v/>
      </c>
      <c r="O31" s="24" t="str">
        <f aca="false">IF(C31="","",IF(OR(D31="Lucro Real",E31="Indústria",N31&gt;500),"A",IF(OR(D31="Lucro Presumido",I31="S",N31&gt;=100),"B","C")))</f>
        <v/>
      </c>
      <c r="P31" s="21"/>
      <c r="Q31" s="24" t="str">
        <f aca="false">IF(C31="","",IF(P31&lt;&gt;"",P31,O31))</f>
        <v/>
      </c>
      <c r="R31" s="21"/>
      <c r="S31" s="21"/>
      <c r="T31" s="25"/>
      <c r="U31" s="23" t="str">
        <f aca="true">IF(T31="","",T31-TODAY())</f>
        <v/>
      </c>
      <c r="V31" s="21"/>
      <c r="W31" s="25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2"/>
      <c r="K32" s="22"/>
      <c r="L32" s="22"/>
      <c r="M32" s="22"/>
      <c r="N32" s="23" t="str">
        <f aca="false">IF(C32="","",SUM(J32:M32))</f>
        <v/>
      </c>
      <c r="O32" s="24" t="str">
        <f aca="false">IF(C32="","",IF(OR(D32="Lucro Real",E32="Indústria",N32&gt;500),"A",IF(OR(D32="Lucro Presumido",I32="S",N32&gt;=100),"B","C")))</f>
        <v/>
      </c>
      <c r="P32" s="21"/>
      <c r="Q32" s="24" t="str">
        <f aca="false">IF(C32="","",IF(P32&lt;&gt;"",P32,O32))</f>
        <v/>
      </c>
      <c r="R32" s="21"/>
      <c r="S32" s="21"/>
      <c r="T32" s="25"/>
      <c r="U32" s="23" t="str">
        <f aca="true">IF(T32="","",T32-TODAY())</f>
        <v/>
      </c>
      <c r="V32" s="21"/>
      <c r="W32" s="25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2"/>
      <c r="K33" s="22"/>
      <c r="L33" s="22"/>
      <c r="M33" s="22"/>
      <c r="N33" s="23" t="str">
        <f aca="false">IF(C33="","",SUM(J33:M33))</f>
        <v/>
      </c>
      <c r="O33" s="24" t="str">
        <f aca="false">IF(C33="","",IF(OR(D33="Lucro Real",E33="Indústria",N33&gt;500),"A",IF(OR(D33="Lucro Presumido",I33="S",N33&gt;=100),"B","C")))</f>
        <v/>
      </c>
      <c r="P33" s="21"/>
      <c r="Q33" s="24" t="str">
        <f aca="false">IF(C33="","",IF(P33&lt;&gt;"",P33,O33))</f>
        <v/>
      </c>
      <c r="R33" s="21"/>
      <c r="S33" s="21"/>
      <c r="T33" s="25"/>
      <c r="U33" s="23" t="str">
        <f aca="true">IF(T33="","",T33-TODAY())</f>
        <v/>
      </c>
      <c r="V33" s="21"/>
      <c r="W33" s="25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2"/>
      <c r="K34" s="22"/>
      <c r="L34" s="22"/>
      <c r="M34" s="22"/>
      <c r="N34" s="23" t="str">
        <f aca="false">IF(C34="","",SUM(J34:M34))</f>
        <v/>
      </c>
      <c r="O34" s="24" t="str">
        <f aca="false">IF(C34="","",IF(OR(D34="Lucro Real",E34="Indústria",N34&gt;500),"A",IF(OR(D34="Lucro Presumido",I34="S",N34&gt;=100),"B","C")))</f>
        <v/>
      </c>
      <c r="P34" s="21"/>
      <c r="Q34" s="24" t="str">
        <f aca="false">IF(C34="","",IF(P34&lt;&gt;"",P34,O34))</f>
        <v/>
      </c>
      <c r="R34" s="21"/>
      <c r="S34" s="21"/>
      <c r="T34" s="25"/>
      <c r="U34" s="23" t="str">
        <f aca="true">IF(T34="","",T34-TODAY())</f>
        <v/>
      </c>
      <c r="V34" s="21"/>
      <c r="W34" s="25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2"/>
      <c r="K35" s="22"/>
      <c r="L35" s="22"/>
      <c r="M35" s="22"/>
      <c r="N35" s="23" t="str">
        <f aca="false">IF(C35="","",SUM(J35:M35))</f>
        <v/>
      </c>
      <c r="O35" s="24" t="str">
        <f aca="false">IF(C35="","",IF(OR(D35="Lucro Real",E35="Indústria",N35&gt;500),"A",IF(OR(D35="Lucro Presumido",I35="S",N35&gt;=100),"B","C")))</f>
        <v/>
      </c>
      <c r="P35" s="21"/>
      <c r="Q35" s="24" t="str">
        <f aca="false">IF(C35="","",IF(P35&lt;&gt;"",P35,O35))</f>
        <v/>
      </c>
      <c r="R35" s="21"/>
      <c r="S35" s="21"/>
      <c r="T35" s="25"/>
      <c r="U35" s="23" t="str">
        <f aca="true">IF(T35="","",T35-TODAY())</f>
        <v/>
      </c>
      <c r="V35" s="21"/>
      <c r="W35" s="25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2"/>
      <c r="K36" s="22"/>
      <c r="L36" s="22"/>
      <c r="M36" s="22"/>
      <c r="N36" s="23" t="str">
        <f aca="false">IF(C36="","",SUM(J36:M36))</f>
        <v/>
      </c>
      <c r="O36" s="24" t="str">
        <f aca="false">IF(C36="","",IF(OR(D36="Lucro Real",E36="Indústria",N36&gt;500),"A",IF(OR(D36="Lucro Presumido",I36="S",N36&gt;=100),"B","C")))</f>
        <v/>
      </c>
      <c r="P36" s="21"/>
      <c r="Q36" s="24" t="str">
        <f aca="false">IF(C36="","",IF(P36&lt;&gt;"",P36,O36))</f>
        <v/>
      </c>
      <c r="R36" s="21"/>
      <c r="S36" s="21"/>
      <c r="T36" s="25"/>
      <c r="U36" s="23" t="str">
        <f aca="true">IF(T36="","",T36-TODAY())</f>
        <v/>
      </c>
      <c r="V36" s="21"/>
      <c r="W36" s="25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2"/>
      <c r="K37" s="22"/>
      <c r="L37" s="22"/>
      <c r="M37" s="22"/>
      <c r="N37" s="23" t="str">
        <f aca="false">IF(C37="","",SUM(J37:M37))</f>
        <v/>
      </c>
      <c r="O37" s="24" t="str">
        <f aca="false">IF(C37="","",IF(OR(D37="Lucro Real",E37="Indústria",N37&gt;500),"A",IF(OR(D37="Lucro Presumido",I37="S",N37&gt;=100),"B","C")))</f>
        <v/>
      </c>
      <c r="P37" s="21"/>
      <c r="Q37" s="24" t="str">
        <f aca="false">IF(C37="","",IF(P37&lt;&gt;"",P37,O37))</f>
        <v/>
      </c>
      <c r="R37" s="21"/>
      <c r="S37" s="21"/>
      <c r="T37" s="25"/>
      <c r="U37" s="23" t="str">
        <f aca="true">IF(T37="","",T37-TODAY())</f>
        <v/>
      </c>
      <c r="V37" s="21"/>
      <c r="W37" s="25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2"/>
      <c r="K38" s="22"/>
      <c r="L38" s="22"/>
      <c r="M38" s="22"/>
      <c r="N38" s="23" t="str">
        <f aca="false">IF(C38="","",SUM(J38:M38))</f>
        <v/>
      </c>
      <c r="O38" s="24" t="str">
        <f aca="false">IF(C38="","",IF(OR(D38="Lucro Real",E38="Indústria",N38&gt;500),"A",IF(OR(D38="Lucro Presumido",I38="S",N38&gt;=100),"B","C")))</f>
        <v/>
      </c>
      <c r="P38" s="21"/>
      <c r="Q38" s="24" t="str">
        <f aca="false">IF(C38="","",IF(P38&lt;&gt;"",P38,O38))</f>
        <v/>
      </c>
      <c r="R38" s="21"/>
      <c r="S38" s="21"/>
      <c r="T38" s="25"/>
      <c r="U38" s="23" t="str">
        <f aca="true">IF(T38="","",T38-TODAY())</f>
        <v/>
      </c>
      <c r="V38" s="21"/>
      <c r="W38" s="25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2"/>
      <c r="K39" s="22"/>
      <c r="L39" s="22"/>
      <c r="M39" s="22"/>
      <c r="N39" s="23" t="str">
        <f aca="false">IF(C39="","",SUM(J39:M39))</f>
        <v/>
      </c>
      <c r="O39" s="24" t="str">
        <f aca="false">IF(C39="","",IF(OR(D39="Lucro Real",E39="Indústria",N39&gt;500),"A",IF(OR(D39="Lucro Presumido",I39="S",N39&gt;=100),"B","C")))</f>
        <v/>
      </c>
      <c r="P39" s="21"/>
      <c r="Q39" s="24" t="str">
        <f aca="false">IF(C39="","",IF(P39&lt;&gt;"",P39,O39))</f>
        <v/>
      </c>
      <c r="R39" s="21"/>
      <c r="S39" s="21"/>
      <c r="T39" s="25"/>
      <c r="U39" s="23" t="str">
        <f aca="true">IF(T39="","",T39-TODAY())</f>
        <v/>
      </c>
      <c r="V39" s="21"/>
      <c r="W39" s="25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2"/>
      <c r="K40" s="22"/>
      <c r="L40" s="22"/>
      <c r="M40" s="22"/>
      <c r="N40" s="23" t="str">
        <f aca="false">IF(C40="","",SUM(J40:M40))</f>
        <v/>
      </c>
      <c r="O40" s="24" t="str">
        <f aca="false">IF(C40="","",IF(OR(D40="Lucro Real",E40="Indústria",N40&gt;500),"A",IF(OR(D40="Lucro Presumido",I40="S",N40&gt;=100),"B","C")))</f>
        <v/>
      </c>
      <c r="P40" s="21"/>
      <c r="Q40" s="24" t="str">
        <f aca="false">IF(C40="","",IF(P40&lt;&gt;"",P40,O40))</f>
        <v/>
      </c>
      <c r="R40" s="21"/>
      <c r="S40" s="21"/>
      <c r="T40" s="25"/>
      <c r="U40" s="23" t="str">
        <f aca="true">IF(T40="","",T40-TODAY())</f>
        <v/>
      </c>
      <c r="V40" s="21"/>
      <c r="W40" s="25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2"/>
      <c r="K41" s="22"/>
      <c r="L41" s="22"/>
      <c r="M41" s="22"/>
      <c r="N41" s="23" t="str">
        <f aca="false">IF(C41="","",SUM(J41:M41))</f>
        <v/>
      </c>
      <c r="O41" s="24" t="str">
        <f aca="false">IF(C41="","",IF(OR(D41="Lucro Real",E41="Indústria",N41&gt;500),"A",IF(OR(D41="Lucro Presumido",I41="S",N41&gt;=100),"B","C")))</f>
        <v/>
      </c>
      <c r="P41" s="21"/>
      <c r="Q41" s="24" t="str">
        <f aca="false">IF(C41="","",IF(P41&lt;&gt;"",P41,O41))</f>
        <v/>
      </c>
      <c r="R41" s="21"/>
      <c r="S41" s="21"/>
      <c r="T41" s="25"/>
      <c r="U41" s="23" t="str">
        <f aca="true">IF(T41="","",T41-TODAY())</f>
        <v/>
      </c>
      <c r="V41" s="21"/>
      <c r="W41" s="25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2"/>
      <c r="K42" s="22"/>
      <c r="L42" s="22"/>
      <c r="M42" s="22"/>
      <c r="N42" s="23" t="str">
        <f aca="false">IF(C42="","",SUM(J42:M42))</f>
        <v/>
      </c>
      <c r="O42" s="24" t="str">
        <f aca="false">IF(C42="","",IF(OR(D42="Lucro Real",E42="Indústria",N42&gt;500),"A",IF(OR(D42="Lucro Presumido",I42="S",N42&gt;=100),"B","C")))</f>
        <v/>
      </c>
      <c r="P42" s="21"/>
      <c r="Q42" s="24" t="str">
        <f aca="false">IF(C42="","",IF(P42&lt;&gt;"",P42,O42))</f>
        <v/>
      </c>
      <c r="R42" s="21"/>
      <c r="S42" s="21"/>
      <c r="T42" s="25"/>
      <c r="U42" s="23" t="str">
        <f aca="true">IF(T42="","",T42-TODAY())</f>
        <v/>
      </c>
      <c r="V42" s="21"/>
      <c r="W42" s="25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2"/>
      <c r="K43" s="22"/>
      <c r="L43" s="22"/>
      <c r="M43" s="22"/>
      <c r="N43" s="23" t="str">
        <f aca="false">IF(C43="","",SUM(J43:M43))</f>
        <v/>
      </c>
      <c r="O43" s="24" t="str">
        <f aca="false">IF(C43="","",IF(OR(D43="Lucro Real",E43="Indústria",N43&gt;500),"A",IF(OR(D43="Lucro Presumido",I43="S",N43&gt;=100),"B","C")))</f>
        <v/>
      </c>
      <c r="P43" s="21"/>
      <c r="Q43" s="24" t="str">
        <f aca="false">IF(C43="","",IF(P43&lt;&gt;"",P43,O43))</f>
        <v/>
      </c>
      <c r="R43" s="21"/>
      <c r="S43" s="21"/>
      <c r="T43" s="25"/>
      <c r="U43" s="23" t="str">
        <f aca="true">IF(T43="","",T43-TODAY())</f>
        <v/>
      </c>
      <c r="V43" s="21"/>
      <c r="W43" s="25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2"/>
      <c r="K44" s="22"/>
      <c r="L44" s="22"/>
      <c r="M44" s="22"/>
      <c r="N44" s="23" t="str">
        <f aca="false">IF(C44="","",SUM(J44:M44))</f>
        <v/>
      </c>
      <c r="O44" s="24" t="str">
        <f aca="false">IF(C44="","",IF(OR(D44="Lucro Real",E44="Indústria",N44&gt;500),"A",IF(OR(D44="Lucro Presumido",I44="S",N44&gt;=100),"B","C")))</f>
        <v/>
      </c>
      <c r="P44" s="21"/>
      <c r="Q44" s="24" t="str">
        <f aca="false">IF(C44="","",IF(P44&lt;&gt;"",P44,O44))</f>
        <v/>
      </c>
      <c r="R44" s="21"/>
      <c r="S44" s="21"/>
      <c r="T44" s="25"/>
      <c r="U44" s="23" t="str">
        <f aca="true">IF(T44="","",T44-TODAY())</f>
        <v/>
      </c>
      <c r="V44" s="21"/>
      <c r="W44" s="25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2"/>
      <c r="K45" s="22"/>
      <c r="L45" s="22"/>
      <c r="M45" s="22"/>
      <c r="N45" s="23" t="str">
        <f aca="false">IF(C45="","",SUM(J45:M45))</f>
        <v/>
      </c>
      <c r="O45" s="24" t="str">
        <f aca="false">IF(C45="","",IF(OR(D45="Lucro Real",E45="Indústria",N45&gt;500),"A",IF(OR(D45="Lucro Presumido",I45="S",N45&gt;=100),"B","C")))</f>
        <v/>
      </c>
      <c r="P45" s="21"/>
      <c r="Q45" s="24" t="str">
        <f aca="false">IF(C45="","",IF(P45&lt;&gt;"",P45,O45))</f>
        <v/>
      </c>
      <c r="R45" s="21"/>
      <c r="S45" s="21"/>
      <c r="T45" s="25"/>
      <c r="U45" s="23" t="str">
        <f aca="true">IF(T45="","",T45-TODAY())</f>
        <v/>
      </c>
      <c r="V45" s="21"/>
      <c r="W45" s="25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2"/>
      <c r="K46" s="22"/>
      <c r="L46" s="22"/>
      <c r="M46" s="22"/>
      <c r="N46" s="23" t="str">
        <f aca="false">IF(C46="","",SUM(J46:M46))</f>
        <v/>
      </c>
      <c r="O46" s="24" t="str">
        <f aca="false">IF(C46="","",IF(OR(D46="Lucro Real",E46="Indústria",N46&gt;500),"A",IF(OR(D46="Lucro Presumido",I46="S",N46&gt;=100),"B","C")))</f>
        <v/>
      </c>
      <c r="P46" s="21"/>
      <c r="Q46" s="24" t="str">
        <f aca="false">IF(C46="","",IF(P46&lt;&gt;"",P46,O46))</f>
        <v/>
      </c>
      <c r="R46" s="21"/>
      <c r="S46" s="21"/>
      <c r="T46" s="25"/>
      <c r="U46" s="23" t="str">
        <f aca="true">IF(T46="","",T46-TODAY())</f>
        <v/>
      </c>
      <c r="V46" s="21"/>
      <c r="W46" s="25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2"/>
      <c r="K47" s="22"/>
      <c r="L47" s="22"/>
      <c r="M47" s="22"/>
      <c r="N47" s="23" t="str">
        <f aca="false">IF(C47="","",SUM(J47:M47))</f>
        <v/>
      </c>
      <c r="O47" s="24" t="str">
        <f aca="false">IF(C47="","",IF(OR(D47="Lucro Real",E47="Indústria",N47&gt;500),"A",IF(OR(D47="Lucro Presumido",I47="S",N47&gt;=100),"B","C")))</f>
        <v/>
      </c>
      <c r="P47" s="21"/>
      <c r="Q47" s="24" t="str">
        <f aca="false">IF(C47="","",IF(P47&lt;&gt;"",P47,O47))</f>
        <v/>
      </c>
      <c r="R47" s="21"/>
      <c r="S47" s="21"/>
      <c r="T47" s="25"/>
      <c r="U47" s="23" t="str">
        <f aca="true">IF(T47="","",T47-TODAY())</f>
        <v/>
      </c>
      <c r="V47" s="21"/>
      <c r="W47" s="25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2"/>
      <c r="K48" s="22"/>
      <c r="L48" s="22"/>
      <c r="M48" s="22"/>
      <c r="N48" s="23" t="str">
        <f aca="false">IF(C48="","",SUM(J48:M48))</f>
        <v/>
      </c>
      <c r="O48" s="24" t="str">
        <f aca="false">IF(C48="","",IF(OR(D48="Lucro Real",E48="Indústria",N48&gt;500),"A",IF(OR(D48="Lucro Presumido",I48="S",N48&gt;=100),"B","C")))</f>
        <v/>
      </c>
      <c r="P48" s="21"/>
      <c r="Q48" s="24" t="str">
        <f aca="false">IF(C48="","",IF(P48&lt;&gt;"",P48,O48))</f>
        <v/>
      </c>
      <c r="R48" s="21"/>
      <c r="S48" s="21"/>
      <c r="T48" s="25"/>
      <c r="U48" s="23" t="str">
        <f aca="true">IF(T48="","",T48-TODAY())</f>
        <v/>
      </c>
      <c r="V48" s="21"/>
      <c r="W48" s="25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2"/>
      <c r="K49" s="22"/>
      <c r="L49" s="22"/>
      <c r="M49" s="22"/>
      <c r="N49" s="23" t="str">
        <f aca="false">IF(C49="","",SUM(J49:M49))</f>
        <v/>
      </c>
      <c r="O49" s="24" t="str">
        <f aca="false">IF(C49="","",IF(OR(D49="Lucro Real",E49="Indústria",N49&gt;500),"A",IF(OR(D49="Lucro Presumido",I49="S",N49&gt;=100),"B","C")))</f>
        <v/>
      </c>
      <c r="P49" s="21"/>
      <c r="Q49" s="24" t="str">
        <f aca="false">IF(C49="","",IF(P49&lt;&gt;"",P49,O49))</f>
        <v/>
      </c>
      <c r="R49" s="21"/>
      <c r="S49" s="21"/>
      <c r="T49" s="25"/>
      <c r="U49" s="23" t="str">
        <f aca="true">IF(T49="","",T49-TODAY())</f>
        <v/>
      </c>
      <c r="V49" s="21"/>
      <c r="W49" s="25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2"/>
      <c r="K50" s="22"/>
      <c r="L50" s="22"/>
      <c r="M50" s="22"/>
      <c r="N50" s="23" t="str">
        <f aca="false">IF(C50="","",SUM(J50:M50))</f>
        <v/>
      </c>
      <c r="O50" s="24" t="str">
        <f aca="false">IF(C50="","",IF(OR(D50="Lucro Real",E50="Indústria",N50&gt;500),"A",IF(OR(D50="Lucro Presumido",I50="S",N50&gt;=100),"B","C")))</f>
        <v/>
      </c>
      <c r="P50" s="21"/>
      <c r="Q50" s="24" t="str">
        <f aca="false">IF(C50="","",IF(P50&lt;&gt;"",P50,O50))</f>
        <v/>
      </c>
      <c r="R50" s="21"/>
      <c r="S50" s="21"/>
      <c r="T50" s="25"/>
      <c r="U50" s="23" t="str">
        <f aca="true">IF(T50="","",T50-TODAY())</f>
        <v/>
      </c>
      <c r="V50" s="21"/>
      <c r="W50" s="25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2"/>
      <c r="K51" s="22"/>
      <c r="L51" s="22"/>
      <c r="M51" s="22"/>
      <c r="N51" s="23" t="str">
        <f aca="false">IF(C51="","",SUM(J51:M51))</f>
        <v/>
      </c>
      <c r="O51" s="24" t="str">
        <f aca="false">IF(C51="","",IF(OR(D51="Lucro Real",E51="Indústria",N51&gt;500),"A",IF(OR(D51="Lucro Presumido",I51="S",N51&gt;=100),"B","C")))</f>
        <v/>
      </c>
      <c r="P51" s="21"/>
      <c r="Q51" s="24" t="str">
        <f aca="false">IF(C51="","",IF(P51&lt;&gt;"",P51,O51))</f>
        <v/>
      </c>
      <c r="R51" s="21"/>
      <c r="S51" s="21"/>
      <c r="T51" s="25"/>
      <c r="U51" s="23" t="str">
        <f aca="true">IF(T51="","",T51-TODAY())</f>
        <v/>
      </c>
      <c r="V51" s="21"/>
      <c r="W51" s="25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2"/>
      <c r="K52" s="22"/>
      <c r="L52" s="22"/>
      <c r="M52" s="22"/>
      <c r="N52" s="23" t="str">
        <f aca="false">IF(C52="","",SUM(J52:M52))</f>
        <v/>
      </c>
      <c r="O52" s="24" t="str">
        <f aca="false">IF(C52="","",IF(OR(D52="Lucro Real",E52="Indústria",N52&gt;500),"A",IF(OR(D52="Lucro Presumido",I52="S",N52&gt;=100),"B","C")))</f>
        <v/>
      </c>
      <c r="P52" s="21"/>
      <c r="Q52" s="24" t="str">
        <f aca="false">IF(C52="","",IF(P52&lt;&gt;"",P52,O52))</f>
        <v/>
      </c>
      <c r="R52" s="21"/>
      <c r="S52" s="21"/>
      <c r="T52" s="25"/>
      <c r="U52" s="23" t="str">
        <f aca="true">IF(T52="","",T52-TODAY())</f>
        <v/>
      </c>
      <c r="V52" s="21"/>
      <c r="W52" s="25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2"/>
      <c r="K53" s="22"/>
      <c r="L53" s="22"/>
      <c r="M53" s="22"/>
      <c r="N53" s="23" t="str">
        <f aca="false">IF(C53="","",SUM(J53:M53))</f>
        <v/>
      </c>
      <c r="O53" s="24" t="str">
        <f aca="false">IF(C53="","",IF(OR(D53="Lucro Real",E53="Indústria",N53&gt;500),"A",IF(OR(D53="Lucro Presumido",I53="S",N53&gt;=100),"B","C")))</f>
        <v/>
      </c>
      <c r="P53" s="21"/>
      <c r="Q53" s="24" t="str">
        <f aca="false">IF(C53="","",IF(P53&lt;&gt;"",P53,O53))</f>
        <v/>
      </c>
      <c r="R53" s="21"/>
      <c r="S53" s="21"/>
      <c r="T53" s="25"/>
      <c r="U53" s="23" t="str">
        <f aca="true">IF(T53="","",T53-TODAY())</f>
        <v/>
      </c>
      <c r="V53" s="21"/>
      <c r="W53" s="25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2"/>
      <c r="K54" s="22"/>
      <c r="L54" s="22"/>
      <c r="M54" s="22"/>
      <c r="N54" s="23" t="str">
        <f aca="false">IF(C54="","",SUM(J54:M54))</f>
        <v/>
      </c>
      <c r="O54" s="24" t="str">
        <f aca="false">IF(C54="","",IF(OR(D54="Lucro Real",E54="Indústria",N54&gt;500),"A",IF(OR(D54="Lucro Presumido",I54="S",N54&gt;=100),"B","C")))</f>
        <v/>
      </c>
      <c r="P54" s="21"/>
      <c r="Q54" s="24" t="str">
        <f aca="false">IF(C54="","",IF(P54&lt;&gt;"",P54,O54))</f>
        <v/>
      </c>
      <c r="R54" s="21"/>
      <c r="S54" s="21"/>
      <c r="T54" s="25"/>
      <c r="U54" s="23" t="str">
        <f aca="true">IF(T54="","",T54-TODAY())</f>
        <v/>
      </c>
      <c r="V54" s="21"/>
      <c r="W54" s="25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2"/>
      <c r="K55" s="22"/>
      <c r="L55" s="22"/>
      <c r="M55" s="22"/>
      <c r="N55" s="23" t="str">
        <f aca="false">IF(C55="","",SUM(J55:M55))</f>
        <v/>
      </c>
      <c r="O55" s="24" t="str">
        <f aca="false">IF(C55="","",IF(OR(D55="Lucro Real",E55="Indústria",N55&gt;500),"A",IF(OR(D55="Lucro Presumido",I55="S",N55&gt;=100),"B","C")))</f>
        <v/>
      </c>
      <c r="P55" s="21"/>
      <c r="Q55" s="24" t="str">
        <f aca="false">IF(C55="","",IF(P55&lt;&gt;"",P55,O55))</f>
        <v/>
      </c>
      <c r="R55" s="21"/>
      <c r="S55" s="21"/>
      <c r="T55" s="25"/>
      <c r="U55" s="23" t="str">
        <f aca="true">IF(T55="","",T55-TODAY())</f>
        <v/>
      </c>
      <c r="V55" s="21"/>
      <c r="W55" s="25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2"/>
      <c r="K56" s="22"/>
      <c r="L56" s="22"/>
      <c r="M56" s="22"/>
      <c r="N56" s="23" t="str">
        <f aca="false">IF(C56="","",SUM(J56:M56))</f>
        <v/>
      </c>
      <c r="O56" s="24" t="str">
        <f aca="false">IF(C56="","",IF(OR(D56="Lucro Real",E56="Indústria",N56&gt;500),"A",IF(OR(D56="Lucro Presumido",I56="S",N56&gt;=100),"B","C")))</f>
        <v/>
      </c>
      <c r="P56" s="21"/>
      <c r="Q56" s="24" t="str">
        <f aca="false">IF(C56="","",IF(P56&lt;&gt;"",P56,O56))</f>
        <v/>
      </c>
      <c r="R56" s="21"/>
      <c r="S56" s="21"/>
      <c r="T56" s="25"/>
      <c r="U56" s="23" t="str">
        <f aca="true">IF(T56="","",T56-TODAY())</f>
        <v/>
      </c>
      <c r="V56" s="21"/>
      <c r="W56" s="25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2"/>
      <c r="K57" s="22"/>
      <c r="L57" s="22"/>
      <c r="M57" s="22"/>
      <c r="N57" s="23" t="str">
        <f aca="false">IF(C57="","",SUM(J57:M57))</f>
        <v/>
      </c>
      <c r="O57" s="24" t="str">
        <f aca="false">IF(C57="","",IF(OR(D57="Lucro Real",E57="Indústria",N57&gt;500),"A",IF(OR(D57="Lucro Presumido",I57="S",N57&gt;=100),"B","C")))</f>
        <v/>
      </c>
      <c r="P57" s="21"/>
      <c r="Q57" s="24" t="str">
        <f aca="false">IF(C57="","",IF(P57&lt;&gt;"",P57,O57))</f>
        <v/>
      </c>
      <c r="R57" s="21"/>
      <c r="S57" s="21"/>
      <c r="T57" s="25"/>
      <c r="U57" s="23" t="str">
        <f aca="true">IF(T57="","",T57-TODAY())</f>
        <v/>
      </c>
      <c r="V57" s="21"/>
      <c r="W57" s="25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2"/>
      <c r="K58" s="22"/>
      <c r="L58" s="22"/>
      <c r="M58" s="22"/>
      <c r="N58" s="23" t="str">
        <f aca="false">IF(C58="","",SUM(J58:M58))</f>
        <v/>
      </c>
      <c r="O58" s="24" t="str">
        <f aca="false">IF(C58="","",IF(OR(D58="Lucro Real",E58="Indústria",N58&gt;500),"A",IF(OR(D58="Lucro Presumido",I58="S",N58&gt;=100),"B","C")))</f>
        <v/>
      </c>
      <c r="P58" s="21"/>
      <c r="Q58" s="24" t="str">
        <f aca="false">IF(C58="","",IF(P58&lt;&gt;"",P58,O58))</f>
        <v/>
      </c>
      <c r="R58" s="21"/>
      <c r="S58" s="21"/>
      <c r="T58" s="25"/>
      <c r="U58" s="23" t="str">
        <f aca="true">IF(T58="","",T58-TODAY())</f>
        <v/>
      </c>
      <c r="V58" s="21"/>
      <c r="W58" s="25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2"/>
      <c r="K59" s="22"/>
      <c r="L59" s="22"/>
      <c r="M59" s="22"/>
      <c r="N59" s="23" t="str">
        <f aca="false">IF(C59="","",SUM(J59:M59))</f>
        <v/>
      </c>
      <c r="O59" s="24" t="str">
        <f aca="false">IF(C59="","",IF(OR(D59="Lucro Real",E59="Indústria",N59&gt;500),"A",IF(OR(D59="Lucro Presumido",I59="S",N59&gt;=100),"B","C")))</f>
        <v/>
      </c>
      <c r="P59" s="21"/>
      <c r="Q59" s="24" t="str">
        <f aca="false">IF(C59="","",IF(P59&lt;&gt;"",P59,O59))</f>
        <v/>
      </c>
      <c r="R59" s="21"/>
      <c r="S59" s="21"/>
      <c r="T59" s="25"/>
      <c r="U59" s="23" t="str">
        <f aca="true">IF(T59="","",T59-TODAY())</f>
        <v/>
      </c>
      <c r="V59" s="21"/>
      <c r="W59" s="25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2"/>
      <c r="K60" s="22"/>
      <c r="L60" s="22"/>
      <c r="M60" s="22"/>
      <c r="N60" s="23" t="str">
        <f aca="false">IF(C60="","",SUM(J60:M60))</f>
        <v/>
      </c>
      <c r="O60" s="24" t="str">
        <f aca="false">IF(C60="","",IF(OR(D60="Lucro Real",E60="Indústria",N60&gt;500),"A",IF(OR(D60="Lucro Presumido",I60="S",N60&gt;=100),"B","C")))</f>
        <v/>
      </c>
      <c r="P60" s="21"/>
      <c r="Q60" s="24" t="str">
        <f aca="false">IF(C60="","",IF(P60&lt;&gt;"",P60,O60))</f>
        <v/>
      </c>
      <c r="R60" s="21"/>
      <c r="S60" s="21"/>
      <c r="T60" s="25"/>
      <c r="U60" s="23" t="str">
        <f aca="true">IF(T60="","",T60-TODAY())</f>
        <v/>
      </c>
      <c r="V60" s="21"/>
      <c r="W60" s="25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2"/>
      <c r="K61" s="22"/>
      <c r="L61" s="22"/>
      <c r="M61" s="22"/>
      <c r="N61" s="23" t="str">
        <f aca="false">IF(C61="","",SUM(J61:M61))</f>
        <v/>
      </c>
      <c r="O61" s="24" t="str">
        <f aca="false">IF(C61="","",IF(OR(D61="Lucro Real",E61="Indústria",N61&gt;500),"A",IF(OR(D61="Lucro Presumido",I61="S",N61&gt;=100),"B","C")))</f>
        <v/>
      </c>
      <c r="P61" s="21"/>
      <c r="Q61" s="24" t="str">
        <f aca="false">IF(C61="","",IF(P61&lt;&gt;"",P61,O61))</f>
        <v/>
      </c>
      <c r="R61" s="21"/>
      <c r="S61" s="21"/>
      <c r="T61" s="25"/>
      <c r="U61" s="23" t="str">
        <f aca="true">IF(T61="","",T61-TODAY())</f>
        <v/>
      </c>
      <c r="V61" s="21"/>
      <c r="W61" s="25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2"/>
      <c r="K62" s="22"/>
      <c r="L62" s="22"/>
      <c r="M62" s="22"/>
      <c r="N62" s="23" t="str">
        <f aca="false">IF(C62="","",SUM(J62:M62))</f>
        <v/>
      </c>
      <c r="O62" s="24" t="str">
        <f aca="false">IF(C62="","",IF(OR(D62="Lucro Real",E62="Indústria",N62&gt;500),"A",IF(OR(D62="Lucro Presumido",I62="S",N62&gt;=100),"B","C")))</f>
        <v/>
      </c>
      <c r="P62" s="21"/>
      <c r="Q62" s="24" t="str">
        <f aca="false">IF(C62="","",IF(P62&lt;&gt;"",P62,O62))</f>
        <v/>
      </c>
      <c r="R62" s="21"/>
      <c r="S62" s="21"/>
      <c r="T62" s="25"/>
      <c r="U62" s="23" t="str">
        <f aca="true">IF(T62="","",T62-TODAY())</f>
        <v/>
      </c>
      <c r="V62" s="21"/>
      <c r="W62" s="25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2"/>
      <c r="K63" s="22"/>
      <c r="L63" s="22"/>
      <c r="M63" s="22"/>
      <c r="N63" s="23" t="str">
        <f aca="false">IF(C63="","",SUM(J63:M63))</f>
        <v/>
      </c>
      <c r="O63" s="24" t="str">
        <f aca="false">IF(C63="","",IF(OR(D63="Lucro Real",E63="Indústria",N63&gt;500),"A",IF(OR(D63="Lucro Presumido",I63="S",N63&gt;=100),"B","C")))</f>
        <v/>
      </c>
      <c r="P63" s="21"/>
      <c r="Q63" s="24" t="str">
        <f aca="false">IF(C63="","",IF(P63&lt;&gt;"",P63,O63))</f>
        <v/>
      </c>
      <c r="R63" s="21"/>
      <c r="S63" s="21"/>
      <c r="T63" s="25"/>
      <c r="U63" s="23" t="str">
        <f aca="true">IF(T63="","",T63-TODAY())</f>
        <v/>
      </c>
      <c r="V63" s="21"/>
      <c r="W63" s="25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2"/>
      <c r="K64" s="22"/>
      <c r="L64" s="22"/>
      <c r="M64" s="22"/>
      <c r="N64" s="23" t="str">
        <f aca="false">IF(C64="","",SUM(J64:M64))</f>
        <v/>
      </c>
      <c r="O64" s="24" t="str">
        <f aca="false">IF(C64="","",IF(OR(D64="Lucro Real",E64="Indústria",N64&gt;500),"A",IF(OR(D64="Lucro Presumido",I64="S",N64&gt;=100),"B","C")))</f>
        <v/>
      </c>
      <c r="P64" s="21"/>
      <c r="Q64" s="24" t="str">
        <f aca="false">IF(C64="","",IF(P64&lt;&gt;"",P64,O64))</f>
        <v/>
      </c>
      <c r="R64" s="21"/>
      <c r="S64" s="21"/>
      <c r="T64" s="25"/>
      <c r="U64" s="23" t="str">
        <f aca="true">IF(T64="","",T64-TODAY())</f>
        <v/>
      </c>
      <c r="V64" s="21"/>
      <c r="W64" s="25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2"/>
      <c r="K65" s="22"/>
      <c r="L65" s="22"/>
      <c r="M65" s="22"/>
      <c r="N65" s="23" t="str">
        <f aca="false">IF(C65="","",SUM(J65:M65))</f>
        <v/>
      </c>
      <c r="O65" s="24" t="str">
        <f aca="false">IF(C65="","",IF(OR(D65="Lucro Real",E65="Indústria",N65&gt;500),"A",IF(OR(D65="Lucro Presumido",I65="S",N65&gt;=100),"B","C")))</f>
        <v/>
      </c>
      <c r="P65" s="21"/>
      <c r="Q65" s="24" t="str">
        <f aca="false">IF(C65="","",IF(P65&lt;&gt;"",P65,O65))</f>
        <v/>
      </c>
      <c r="R65" s="21"/>
      <c r="S65" s="21"/>
      <c r="T65" s="25"/>
      <c r="U65" s="23" t="str">
        <f aca="true">IF(T65="","",T65-TODAY())</f>
        <v/>
      </c>
      <c r="V65" s="21"/>
      <c r="W65" s="25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2"/>
      <c r="K66" s="22"/>
      <c r="L66" s="22"/>
      <c r="M66" s="22"/>
      <c r="N66" s="23" t="str">
        <f aca="false">IF(C66="","",SUM(J66:M66))</f>
        <v/>
      </c>
      <c r="O66" s="24" t="str">
        <f aca="false">IF(C66="","",IF(OR(D66="Lucro Real",E66="Indústria",N66&gt;500),"A",IF(OR(D66="Lucro Presumido",I66="S",N66&gt;=100),"B","C")))</f>
        <v/>
      </c>
      <c r="P66" s="21"/>
      <c r="Q66" s="24" t="str">
        <f aca="false">IF(C66="","",IF(P66&lt;&gt;"",P66,O66))</f>
        <v/>
      </c>
      <c r="R66" s="21"/>
      <c r="S66" s="21"/>
      <c r="T66" s="25"/>
      <c r="U66" s="23" t="str">
        <f aca="true">IF(T66="","",T66-TODAY())</f>
        <v/>
      </c>
      <c r="V66" s="21"/>
      <c r="W66" s="25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2"/>
      <c r="K67" s="22"/>
      <c r="L67" s="22"/>
      <c r="M67" s="22"/>
      <c r="N67" s="23" t="str">
        <f aca="false">IF(C67="","",SUM(J67:M67))</f>
        <v/>
      </c>
      <c r="O67" s="24" t="str">
        <f aca="false">IF(C67="","",IF(OR(D67="Lucro Real",E67="Indústria",N67&gt;500),"A",IF(OR(D67="Lucro Presumido",I67="S",N67&gt;=100),"B","C")))</f>
        <v/>
      </c>
      <c r="P67" s="21"/>
      <c r="Q67" s="24" t="str">
        <f aca="false">IF(C67="","",IF(P67&lt;&gt;"",P67,O67))</f>
        <v/>
      </c>
      <c r="R67" s="21"/>
      <c r="S67" s="21"/>
      <c r="T67" s="25"/>
      <c r="U67" s="23" t="str">
        <f aca="true">IF(T67="","",T67-TODAY())</f>
        <v/>
      </c>
      <c r="V67" s="21"/>
      <c r="W67" s="25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2"/>
      <c r="K68" s="22"/>
      <c r="L68" s="22"/>
      <c r="M68" s="22"/>
      <c r="N68" s="23" t="str">
        <f aca="false">IF(C68="","",SUM(J68:M68))</f>
        <v/>
      </c>
      <c r="O68" s="24" t="str">
        <f aca="false">IF(C68="","",IF(OR(D68="Lucro Real",E68="Indústria",N68&gt;500),"A",IF(OR(D68="Lucro Presumido",I68="S",N68&gt;=100),"B","C")))</f>
        <v/>
      </c>
      <c r="P68" s="21"/>
      <c r="Q68" s="24" t="str">
        <f aca="false">IF(C68="","",IF(P68&lt;&gt;"",P68,O68))</f>
        <v/>
      </c>
      <c r="R68" s="21"/>
      <c r="S68" s="21"/>
      <c r="T68" s="25"/>
      <c r="U68" s="23" t="str">
        <f aca="true">IF(T68="","",T68-TODAY())</f>
        <v/>
      </c>
      <c r="V68" s="21"/>
      <c r="W68" s="25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2"/>
      <c r="K69" s="22"/>
      <c r="L69" s="22"/>
      <c r="M69" s="22"/>
      <c r="N69" s="23" t="str">
        <f aca="false">IF(C69="","",SUM(J69:M69))</f>
        <v/>
      </c>
      <c r="O69" s="24" t="str">
        <f aca="false">IF(C69="","",IF(OR(D69="Lucro Real",E69="Indústria",N69&gt;500),"A",IF(OR(D69="Lucro Presumido",I69="S",N69&gt;=100),"B","C")))</f>
        <v/>
      </c>
      <c r="P69" s="21"/>
      <c r="Q69" s="24" t="str">
        <f aca="false">IF(C69="","",IF(P69&lt;&gt;"",P69,O69))</f>
        <v/>
      </c>
      <c r="R69" s="21"/>
      <c r="S69" s="21"/>
      <c r="T69" s="25"/>
      <c r="U69" s="23" t="str">
        <f aca="true">IF(T69="","",T69-TODAY())</f>
        <v/>
      </c>
      <c r="V69" s="21"/>
      <c r="W69" s="25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2"/>
      <c r="K70" s="22"/>
      <c r="L70" s="22"/>
      <c r="M70" s="22"/>
      <c r="N70" s="23" t="str">
        <f aca="false">IF(C70="","",SUM(J70:M70))</f>
        <v/>
      </c>
      <c r="O70" s="24" t="str">
        <f aca="false">IF(C70="","",IF(OR(D70="Lucro Real",E70="Indústria",N70&gt;500),"A",IF(OR(D70="Lucro Presumido",I70="S",N70&gt;=100),"B","C")))</f>
        <v/>
      </c>
      <c r="P70" s="21"/>
      <c r="Q70" s="24" t="str">
        <f aca="false">IF(C70="","",IF(P70&lt;&gt;"",P70,O70))</f>
        <v/>
      </c>
      <c r="R70" s="21"/>
      <c r="S70" s="21"/>
      <c r="T70" s="25"/>
      <c r="U70" s="23" t="str">
        <f aca="true">IF(T70="","",T70-TODAY())</f>
        <v/>
      </c>
      <c r="V70" s="21"/>
      <c r="W70" s="25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2"/>
      <c r="K71" s="22"/>
      <c r="L71" s="22"/>
      <c r="M71" s="22"/>
      <c r="N71" s="23" t="str">
        <f aca="false">IF(C71="","",SUM(J71:M71))</f>
        <v/>
      </c>
      <c r="O71" s="24" t="str">
        <f aca="false">IF(C71="","",IF(OR(D71="Lucro Real",E71="Indústria",N71&gt;500),"A",IF(OR(D71="Lucro Presumido",I71="S",N71&gt;=100),"B","C")))</f>
        <v/>
      </c>
      <c r="P71" s="21"/>
      <c r="Q71" s="24" t="str">
        <f aca="false">IF(C71="","",IF(P71&lt;&gt;"",P71,O71))</f>
        <v/>
      </c>
      <c r="R71" s="21"/>
      <c r="S71" s="21"/>
      <c r="T71" s="25"/>
      <c r="U71" s="23" t="str">
        <f aca="true">IF(T71="","",T71-TODAY())</f>
        <v/>
      </c>
      <c r="V71" s="21"/>
      <c r="W71" s="25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2"/>
      <c r="K72" s="22"/>
      <c r="L72" s="22"/>
      <c r="M72" s="22"/>
      <c r="N72" s="23" t="str">
        <f aca="false">IF(C72="","",SUM(J72:M72))</f>
        <v/>
      </c>
      <c r="O72" s="24" t="str">
        <f aca="false">IF(C72="","",IF(OR(D72="Lucro Real",E72="Indústria",N72&gt;500),"A",IF(OR(D72="Lucro Presumido",I72="S",N72&gt;=100),"B","C")))</f>
        <v/>
      </c>
      <c r="P72" s="21"/>
      <c r="Q72" s="24" t="str">
        <f aca="false">IF(C72="","",IF(P72&lt;&gt;"",P72,O72))</f>
        <v/>
      </c>
      <c r="R72" s="21"/>
      <c r="S72" s="21"/>
      <c r="T72" s="25"/>
      <c r="U72" s="23" t="str">
        <f aca="true">IF(T72="","",T72-TODAY())</f>
        <v/>
      </c>
      <c r="V72" s="21"/>
      <c r="W72" s="25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2"/>
      <c r="K73" s="22"/>
      <c r="L73" s="22"/>
      <c r="M73" s="22"/>
      <c r="N73" s="23" t="str">
        <f aca="false">IF(C73="","",SUM(J73:M73))</f>
        <v/>
      </c>
      <c r="O73" s="24" t="str">
        <f aca="false">IF(C73="","",IF(OR(D73="Lucro Real",E73="Indústria",N73&gt;500),"A",IF(OR(D73="Lucro Presumido",I73="S",N73&gt;=100),"B","C")))</f>
        <v/>
      </c>
      <c r="P73" s="21"/>
      <c r="Q73" s="24" t="str">
        <f aca="false">IF(C73="","",IF(P73&lt;&gt;"",P73,O73))</f>
        <v/>
      </c>
      <c r="R73" s="21"/>
      <c r="S73" s="21"/>
      <c r="T73" s="25"/>
      <c r="U73" s="23" t="str">
        <f aca="true">IF(T73="","",T73-TODAY())</f>
        <v/>
      </c>
      <c r="V73" s="21"/>
      <c r="W73" s="25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2"/>
      <c r="K74" s="22"/>
      <c r="L74" s="22"/>
      <c r="M74" s="22"/>
      <c r="N74" s="23" t="str">
        <f aca="false">IF(C74="","",SUM(J74:M74))</f>
        <v/>
      </c>
      <c r="O74" s="24" t="str">
        <f aca="false">IF(C74="","",IF(OR(D74="Lucro Real",E74="Indústria",N74&gt;500),"A",IF(OR(D74="Lucro Presumido",I74="S",N74&gt;=100),"B","C")))</f>
        <v/>
      </c>
      <c r="P74" s="21"/>
      <c r="Q74" s="24" t="str">
        <f aca="false">IF(C74="","",IF(P74&lt;&gt;"",P74,O74))</f>
        <v/>
      </c>
      <c r="R74" s="21"/>
      <c r="S74" s="21"/>
      <c r="T74" s="25"/>
      <c r="U74" s="23" t="str">
        <f aca="true">IF(T74="","",T74-TODAY())</f>
        <v/>
      </c>
      <c r="V74" s="21"/>
      <c r="W74" s="25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2"/>
      <c r="K75" s="22"/>
      <c r="L75" s="22"/>
      <c r="M75" s="22"/>
      <c r="N75" s="23" t="str">
        <f aca="false">IF(C75="","",SUM(J75:M75))</f>
        <v/>
      </c>
      <c r="O75" s="24" t="str">
        <f aca="false">IF(C75="","",IF(OR(D75="Lucro Real",E75="Indústria",N75&gt;500),"A",IF(OR(D75="Lucro Presumido",I75="S",N75&gt;=100),"B","C")))</f>
        <v/>
      </c>
      <c r="P75" s="21"/>
      <c r="Q75" s="24" t="str">
        <f aca="false">IF(C75="","",IF(P75&lt;&gt;"",P75,O75))</f>
        <v/>
      </c>
      <c r="R75" s="21"/>
      <c r="S75" s="21"/>
      <c r="T75" s="25"/>
      <c r="U75" s="23" t="str">
        <f aca="true">IF(T75="","",T75-TODAY())</f>
        <v/>
      </c>
      <c r="V75" s="21"/>
      <c r="W75" s="25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2"/>
      <c r="K76" s="22"/>
      <c r="L76" s="22"/>
      <c r="M76" s="22"/>
      <c r="N76" s="23" t="str">
        <f aca="false">IF(C76="","",SUM(J76:M76))</f>
        <v/>
      </c>
      <c r="O76" s="24" t="str">
        <f aca="false">IF(C76="","",IF(OR(D76="Lucro Real",E76="Indústria",N76&gt;500),"A",IF(OR(D76="Lucro Presumido",I76="S",N76&gt;=100),"B","C")))</f>
        <v/>
      </c>
      <c r="P76" s="21"/>
      <c r="Q76" s="24" t="str">
        <f aca="false">IF(C76="","",IF(P76&lt;&gt;"",P76,O76))</f>
        <v/>
      </c>
      <c r="R76" s="21"/>
      <c r="S76" s="21"/>
      <c r="T76" s="25"/>
      <c r="U76" s="23" t="str">
        <f aca="true">IF(T76="","",T76-TODAY())</f>
        <v/>
      </c>
      <c r="V76" s="21"/>
      <c r="W76" s="25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2"/>
      <c r="K77" s="22"/>
      <c r="L77" s="22"/>
      <c r="M77" s="22"/>
      <c r="N77" s="23" t="str">
        <f aca="false">IF(C77="","",SUM(J77:M77))</f>
        <v/>
      </c>
      <c r="O77" s="24" t="str">
        <f aca="false">IF(C77="","",IF(OR(D77="Lucro Real",E77="Indústria",N77&gt;500),"A",IF(OR(D77="Lucro Presumido",I77="S",N77&gt;=100),"B","C")))</f>
        <v/>
      </c>
      <c r="P77" s="21"/>
      <c r="Q77" s="24" t="str">
        <f aca="false">IF(C77="","",IF(P77&lt;&gt;"",P77,O77))</f>
        <v/>
      </c>
      <c r="R77" s="21"/>
      <c r="S77" s="21"/>
      <c r="T77" s="25"/>
      <c r="U77" s="23" t="str">
        <f aca="true">IF(T77="","",T77-TODAY())</f>
        <v/>
      </c>
      <c r="V77" s="21"/>
      <c r="W77" s="25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2"/>
      <c r="K78" s="22"/>
      <c r="L78" s="22"/>
      <c r="M78" s="22"/>
      <c r="N78" s="23" t="str">
        <f aca="false">IF(C78="","",SUM(J78:M78))</f>
        <v/>
      </c>
      <c r="O78" s="24" t="str">
        <f aca="false">IF(C78="","",IF(OR(D78="Lucro Real",E78="Indústria",N78&gt;500),"A",IF(OR(D78="Lucro Presumido",I78="S",N78&gt;=100),"B","C")))</f>
        <v/>
      </c>
      <c r="P78" s="21"/>
      <c r="Q78" s="24" t="str">
        <f aca="false">IF(C78="","",IF(P78&lt;&gt;"",P78,O78))</f>
        <v/>
      </c>
      <c r="R78" s="21"/>
      <c r="S78" s="21"/>
      <c r="T78" s="25"/>
      <c r="U78" s="23" t="str">
        <f aca="true">IF(T78="","",T78-TODAY())</f>
        <v/>
      </c>
      <c r="V78" s="21"/>
      <c r="W78" s="25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2"/>
      <c r="K79" s="22"/>
      <c r="L79" s="22"/>
      <c r="M79" s="22"/>
      <c r="N79" s="23" t="str">
        <f aca="false">IF(C79="","",SUM(J79:M79))</f>
        <v/>
      </c>
      <c r="O79" s="24" t="str">
        <f aca="false">IF(C79="","",IF(OR(D79="Lucro Real",E79="Indústria",N79&gt;500),"A",IF(OR(D79="Lucro Presumido",I79="S",N79&gt;=100),"B","C")))</f>
        <v/>
      </c>
      <c r="P79" s="21"/>
      <c r="Q79" s="24" t="str">
        <f aca="false">IF(C79="","",IF(P79&lt;&gt;"",P79,O79))</f>
        <v/>
      </c>
      <c r="R79" s="21"/>
      <c r="S79" s="21"/>
      <c r="T79" s="25"/>
      <c r="U79" s="23" t="str">
        <f aca="true">IF(T79="","",T79-TODAY())</f>
        <v/>
      </c>
      <c r="V79" s="21"/>
      <c r="W79" s="25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2"/>
      <c r="K80" s="22"/>
      <c r="L80" s="22"/>
      <c r="M80" s="22"/>
      <c r="N80" s="23" t="str">
        <f aca="false">IF(C80="","",SUM(J80:M80))</f>
        <v/>
      </c>
      <c r="O80" s="24" t="str">
        <f aca="false">IF(C80="","",IF(OR(D80="Lucro Real",E80="Indústria",N80&gt;500),"A",IF(OR(D80="Lucro Presumido",I80="S",N80&gt;=100),"B","C")))</f>
        <v/>
      </c>
      <c r="P80" s="21"/>
      <c r="Q80" s="24" t="str">
        <f aca="false">IF(C80="","",IF(P80&lt;&gt;"",P80,O80))</f>
        <v/>
      </c>
      <c r="R80" s="21"/>
      <c r="S80" s="21"/>
      <c r="T80" s="25"/>
      <c r="U80" s="23" t="str">
        <f aca="true">IF(T80="","",T80-TODAY())</f>
        <v/>
      </c>
      <c r="V80" s="21"/>
      <c r="W80" s="25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2"/>
      <c r="K81" s="22"/>
      <c r="L81" s="22"/>
      <c r="M81" s="22"/>
      <c r="N81" s="23" t="str">
        <f aca="false">IF(C81="","",SUM(J81:M81))</f>
        <v/>
      </c>
      <c r="O81" s="24" t="str">
        <f aca="false">IF(C81="","",IF(OR(D81="Lucro Real",E81="Indústria",N81&gt;500),"A",IF(OR(D81="Lucro Presumido",I81="S",N81&gt;=100),"B","C")))</f>
        <v/>
      </c>
      <c r="P81" s="21"/>
      <c r="Q81" s="24" t="str">
        <f aca="false">IF(C81="","",IF(P81&lt;&gt;"",P81,O81))</f>
        <v/>
      </c>
      <c r="R81" s="21"/>
      <c r="S81" s="21"/>
      <c r="T81" s="25"/>
      <c r="U81" s="23" t="str">
        <f aca="true">IF(T81="","",T81-TODAY())</f>
        <v/>
      </c>
      <c r="V81" s="21"/>
      <c r="W81" s="25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2"/>
      <c r="K82" s="22"/>
      <c r="L82" s="22"/>
      <c r="M82" s="22"/>
      <c r="N82" s="23" t="str">
        <f aca="false">IF(C82="","",SUM(J82:M82))</f>
        <v/>
      </c>
      <c r="O82" s="24" t="str">
        <f aca="false">IF(C82="","",IF(OR(D82="Lucro Real",E82="Indústria",N82&gt;500),"A",IF(OR(D82="Lucro Presumido",I82="S",N82&gt;=100),"B","C")))</f>
        <v/>
      </c>
      <c r="P82" s="21"/>
      <c r="Q82" s="24" t="str">
        <f aca="false">IF(C82="","",IF(P82&lt;&gt;"",P82,O82))</f>
        <v/>
      </c>
      <c r="R82" s="21"/>
      <c r="S82" s="21"/>
      <c r="T82" s="25"/>
      <c r="U82" s="23" t="str">
        <f aca="true">IF(T82="","",T82-TODAY())</f>
        <v/>
      </c>
      <c r="V82" s="21"/>
      <c r="W82" s="25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2"/>
      <c r="K83" s="22"/>
      <c r="L83" s="22"/>
      <c r="M83" s="22"/>
      <c r="N83" s="23" t="str">
        <f aca="false">IF(C83="","",SUM(J83:M83))</f>
        <v/>
      </c>
      <c r="O83" s="24" t="str">
        <f aca="false">IF(C83="","",IF(OR(D83="Lucro Real",E83="Indústria",N83&gt;500),"A",IF(OR(D83="Lucro Presumido",I83="S",N83&gt;=100),"B","C")))</f>
        <v/>
      </c>
      <c r="P83" s="21"/>
      <c r="Q83" s="24" t="str">
        <f aca="false">IF(C83="","",IF(P83&lt;&gt;"",P83,O83))</f>
        <v/>
      </c>
      <c r="R83" s="21"/>
      <c r="S83" s="21"/>
      <c r="T83" s="25"/>
      <c r="U83" s="23" t="str">
        <f aca="true">IF(T83="","",T83-TODAY())</f>
        <v/>
      </c>
      <c r="V83" s="21"/>
      <c r="W83" s="25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2"/>
      <c r="K84" s="22"/>
      <c r="L84" s="22"/>
      <c r="M84" s="22"/>
      <c r="N84" s="23" t="str">
        <f aca="false">IF(C84="","",SUM(J84:M84))</f>
        <v/>
      </c>
      <c r="O84" s="24" t="str">
        <f aca="false">IF(C84="","",IF(OR(D84="Lucro Real",E84="Indústria",N84&gt;500),"A",IF(OR(D84="Lucro Presumido",I84="S",N84&gt;=100),"B","C")))</f>
        <v/>
      </c>
      <c r="P84" s="21"/>
      <c r="Q84" s="24" t="str">
        <f aca="false">IF(C84="","",IF(P84&lt;&gt;"",P84,O84))</f>
        <v/>
      </c>
      <c r="R84" s="21"/>
      <c r="S84" s="21"/>
      <c r="T84" s="25"/>
      <c r="U84" s="23" t="str">
        <f aca="true">IF(T84="","",T84-TODAY())</f>
        <v/>
      </c>
      <c r="V84" s="21"/>
      <c r="W84" s="25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2"/>
      <c r="K85" s="22"/>
      <c r="L85" s="22"/>
      <c r="M85" s="22"/>
      <c r="N85" s="23" t="str">
        <f aca="false">IF(C85="","",SUM(J85:M85))</f>
        <v/>
      </c>
      <c r="O85" s="24" t="str">
        <f aca="false">IF(C85="","",IF(OR(D85="Lucro Real",E85="Indústria",N85&gt;500),"A",IF(OR(D85="Lucro Presumido",I85="S",N85&gt;=100),"B","C")))</f>
        <v/>
      </c>
      <c r="P85" s="21"/>
      <c r="Q85" s="24" t="str">
        <f aca="false">IF(C85="","",IF(P85&lt;&gt;"",P85,O85))</f>
        <v/>
      </c>
      <c r="R85" s="21"/>
      <c r="S85" s="21"/>
      <c r="T85" s="25"/>
      <c r="U85" s="23" t="str">
        <f aca="true">IF(T85="","",T85-TODAY())</f>
        <v/>
      </c>
      <c r="V85" s="21"/>
      <c r="W85" s="25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2"/>
      <c r="K86" s="22"/>
      <c r="L86" s="22"/>
      <c r="M86" s="22"/>
      <c r="N86" s="23" t="str">
        <f aca="false">IF(C86="","",SUM(J86:M86))</f>
        <v/>
      </c>
      <c r="O86" s="24" t="str">
        <f aca="false">IF(C86="","",IF(OR(D86="Lucro Real",E86="Indústria",N86&gt;500),"A",IF(OR(D86="Lucro Presumido",I86="S",N86&gt;=100),"B","C")))</f>
        <v/>
      </c>
      <c r="P86" s="21"/>
      <c r="Q86" s="24" t="str">
        <f aca="false">IF(C86="","",IF(P86&lt;&gt;"",P86,O86))</f>
        <v/>
      </c>
      <c r="R86" s="21"/>
      <c r="S86" s="21"/>
      <c r="T86" s="25"/>
      <c r="U86" s="23" t="str">
        <f aca="true">IF(T86="","",T86-TODAY())</f>
        <v/>
      </c>
      <c r="V86" s="21"/>
      <c r="W86" s="25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2"/>
      <c r="K87" s="22"/>
      <c r="L87" s="22"/>
      <c r="M87" s="22"/>
      <c r="N87" s="23" t="str">
        <f aca="false">IF(C87="","",SUM(J87:M87))</f>
        <v/>
      </c>
      <c r="O87" s="24" t="str">
        <f aca="false">IF(C87="","",IF(OR(D87="Lucro Real",E87="Indústria",N87&gt;500),"A",IF(OR(D87="Lucro Presumido",I87="S",N87&gt;=100),"B","C")))</f>
        <v/>
      </c>
      <c r="P87" s="21"/>
      <c r="Q87" s="24" t="str">
        <f aca="false">IF(C87="","",IF(P87&lt;&gt;"",P87,O87))</f>
        <v/>
      </c>
      <c r="R87" s="21"/>
      <c r="S87" s="21"/>
      <c r="T87" s="25"/>
      <c r="U87" s="23" t="str">
        <f aca="true">IF(T87="","",T87-TODAY())</f>
        <v/>
      </c>
      <c r="V87" s="21"/>
      <c r="W87" s="25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2"/>
      <c r="K88" s="22"/>
      <c r="L88" s="22"/>
      <c r="M88" s="22"/>
      <c r="N88" s="23" t="str">
        <f aca="false">IF(C88="","",SUM(J88:M88))</f>
        <v/>
      </c>
      <c r="O88" s="24" t="str">
        <f aca="false">IF(C88="","",IF(OR(D88="Lucro Real",E88="Indústria",N88&gt;500),"A",IF(OR(D88="Lucro Presumido",I88="S",N88&gt;=100),"B","C")))</f>
        <v/>
      </c>
      <c r="P88" s="21"/>
      <c r="Q88" s="24" t="str">
        <f aca="false">IF(C88="","",IF(P88&lt;&gt;"",P88,O88))</f>
        <v/>
      </c>
      <c r="R88" s="21"/>
      <c r="S88" s="21"/>
      <c r="T88" s="25"/>
      <c r="U88" s="23" t="str">
        <f aca="true">IF(T88="","",T88-TODAY())</f>
        <v/>
      </c>
      <c r="V88" s="21"/>
      <c r="W88" s="25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2"/>
      <c r="K89" s="22"/>
      <c r="L89" s="22"/>
      <c r="M89" s="22"/>
      <c r="N89" s="23" t="str">
        <f aca="false">IF(C89="","",SUM(J89:M89))</f>
        <v/>
      </c>
      <c r="O89" s="24" t="str">
        <f aca="false">IF(C89="","",IF(OR(D89="Lucro Real",E89="Indústria",N89&gt;500),"A",IF(OR(D89="Lucro Presumido",I89="S",N89&gt;=100),"B","C")))</f>
        <v/>
      </c>
      <c r="P89" s="21"/>
      <c r="Q89" s="24" t="str">
        <f aca="false">IF(C89="","",IF(P89&lt;&gt;"",P89,O89))</f>
        <v/>
      </c>
      <c r="R89" s="21"/>
      <c r="S89" s="21"/>
      <c r="T89" s="25"/>
      <c r="U89" s="23" t="str">
        <f aca="true">IF(T89="","",T89-TODAY())</f>
        <v/>
      </c>
      <c r="V89" s="21"/>
      <c r="W89" s="25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2"/>
      <c r="K90" s="22"/>
      <c r="L90" s="22"/>
      <c r="M90" s="22"/>
      <c r="N90" s="23" t="str">
        <f aca="false">IF(C90="","",SUM(J90:M90))</f>
        <v/>
      </c>
      <c r="O90" s="24" t="str">
        <f aca="false">IF(C90="","",IF(OR(D90="Lucro Real",E90="Indústria",N90&gt;500),"A",IF(OR(D90="Lucro Presumido",I90="S",N90&gt;=100),"B","C")))</f>
        <v/>
      </c>
      <c r="P90" s="21"/>
      <c r="Q90" s="24" t="str">
        <f aca="false">IF(C90="","",IF(P90&lt;&gt;"",P90,O90))</f>
        <v/>
      </c>
      <c r="R90" s="21"/>
      <c r="S90" s="21"/>
      <c r="T90" s="25"/>
      <c r="U90" s="23" t="str">
        <f aca="true">IF(T90="","",T90-TODAY())</f>
        <v/>
      </c>
      <c r="V90" s="21"/>
      <c r="W90" s="25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2"/>
      <c r="K91" s="22"/>
      <c r="L91" s="22"/>
      <c r="M91" s="22"/>
      <c r="N91" s="23" t="str">
        <f aca="false">IF(C91="","",SUM(J91:M91))</f>
        <v/>
      </c>
      <c r="O91" s="24" t="str">
        <f aca="false">IF(C91="","",IF(OR(D91="Lucro Real",E91="Indústria",N91&gt;500),"A",IF(OR(D91="Lucro Presumido",I91="S",N91&gt;=100),"B","C")))</f>
        <v/>
      </c>
      <c r="P91" s="21"/>
      <c r="Q91" s="24" t="str">
        <f aca="false">IF(C91="","",IF(P91&lt;&gt;"",P91,O91))</f>
        <v/>
      </c>
      <c r="R91" s="21"/>
      <c r="S91" s="21"/>
      <c r="T91" s="25"/>
      <c r="U91" s="23" t="str">
        <f aca="true">IF(T91="","",T91-TODAY())</f>
        <v/>
      </c>
      <c r="V91" s="21"/>
      <c r="W91" s="25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2"/>
      <c r="K92" s="22"/>
      <c r="L92" s="22"/>
      <c r="M92" s="22"/>
      <c r="N92" s="23" t="str">
        <f aca="false">IF(C92="","",SUM(J92:M92))</f>
        <v/>
      </c>
      <c r="O92" s="24" t="str">
        <f aca="false">IF(C92="","",IF(OR(D92="Lucro Real",E92="Indústria",N92&gt;500),"A",IF(OR(D92="Lucro Presumido",I92="S",N92&gt;=100),"B","C")))</f>
        <v/>
      </c>
      <c r="P92" s="21"/>
      <c r="Q92" s="24" t="str">
        <f aca="false">IF(C92="","",IF(P92&lt;&gt;"",P92,O92))</f>
        <v/>
      </c>
      <c r="R92" s="21"/>
      <c r="S92" s="21"/>
      <c r="T92" s="25"/>
      <c r="U92" s="23" t="str">
        <f aca="true">IF(T92="","",T92-TODAY())</f>
        <v/>
      </c>
      <c r="V92" s="21"/>
      <c r="W92" s="25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2"/>
      <c r="K93" s="22"/>
      <c r="L93" s="22"/>
      <c r="M93" s="22"/>
      <c r="N93" s="23" t="str">
        <f aca="false">IF(C93="","",SUM(J93:M93))</f>
        <v/>
      </c>
      <c r="O93" s="24" t="str">
        <f aca="false">IF(C93="","",IF(OR(D93="Lucro Real",E93="Indústria",N93&gt;500),"A",IF(OR(D93="Lucro Presumido",I93="S",N93&gt;=100),"B","C")))</f>
        <v/>
      </c>
      <c r="P93" s="21"/>
      <c r="Q93" s="24" t="str">
        <f aca="false">IF(C93="","",IF(P93&lt;&gt;"",P93,O93))</f>
        <v/>
      </c>
      <c r="R93" s="21"/>
      <c r="S93" s="21"/>
      <c r="T93" s="25"/>
      <c r="U93" s="23" t="str">
        <f aca="true">IF(T93="","",T93-TODAY())</f>
        <v/>
      </c>
      <c r="V93" s="21"/>
      <c r="W93" s="25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2"/>
      <c r="K94" s="22"/>
      <c r="L94" s="22"/>
      <c r="M94" s="22"/>
      <c r="N94" s="23" t="str">
        <f aca="false">IF(C94="","",SUM(J94:M94))</f>
        <v/>
      </c>
      <c r="O94" s="24" t="str">
        <f aca="false">IF(C94="","",IF(OR(D94="Lucro Real",E94="Indústria",N94&gt;500),"A",IF(OR(D94="Lucro Presumido",I94="S",N94&gt;=100),"B","C")))</f>
        <v/>
      </c>
      <c r="P94" s="21"/>
      <c r="Q94" s="24" t="str">
        <f aca="false">IF(C94="","",IF(P94&lt;&gt;"",P94,O94))</f>
        <v/>
      </c>
      <c r="R94" s="21"/>
      <c r="S94" s="21"/>
      <c r="T94" s="25"/>
      <c r="U94" s="23" t="str">
        <f aca="true">IF(T94="","",T94-TODAY())</f>
        <v/>
      </c>
      <c r="V94" s="21"/>
      <c r="W94" s="25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2"/>
      <c r="K95" s="22"/>
      <c r="L95" s="22"/>
      <c r="M95" s="22"/>
      <c r="N95" s="23" t="str">
        <f aca="false">IF(C95="","",SUM(J95:M95))</f>
        <v/>
      </c>
      <c r="O95" s="24" t="str">
        <f aca="false">IF(C95="","",IF(OR(D95="Lucro Real",E95="Indústria",N95&gt;500),"A",IF(OR(D95="Lucro Presumido",I95="S",N95&gt;=100),"B","C")))</f>
        <v/>
      </c>
      <c r="P95" s="21"/>
      <c r="Q95" s="24" t="str">
        <f aca="false">IF(C95="","",IF(P95&lt;&gt;"",P95,O95))</f>
        <v/>
      </c>
      <c r="R95" s="21"/>
      <c r="S95" s="21"/>
      <c r="T95" s="25"/>
      <c r="U95" s="23" t="str">
        <f aca="true">IF(T95="","",T95-TODAY())</f>
        <v/>
      </c>
      <c r="V95" s="21"/>
      <c r="W95" s="25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2"/>
      <c r="K96" s="22"/>
      <c r="L96" s="22"/>
      <c r="M96" s="22"/>
      <c r="N96" s="23" t="str">
        <f aca="false">IF(C96="","",SUM(J96:M96))</f>
        <v/>
      </c>
      <c r="O96" s="24" t="str">
        <f aca="false">IF(C96="","",IF(OR(D96="Lucro Real",E96="Indústria",N96&gt;500),"A",IF(OR(D96="Lucro Presumido",I96="S",N96&gt;=100),"B","C")))</f>
        <v/>
      </c>
      <c r="P96" s="21"/>
      <c r="Q96" s="24" t="str">
        <f aca="false">IF(C96="","",IF(P96&lt;&gt;"",P96,O96))</f>
        <v/>
      </c>
      <c r="R96" s="21"/>
      <c r="S96" s="21"/>
      <c r="T96" s="25"/>
      <c r="U96" s="23" t="str">
        <f aca="true">IF(T96="","",T96-TODAY())</f>
        <v/>
      </c>
      <c r="V96" s="21"/>
      <c r="W96" s="25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2"/>
      <c r="K97" s="22"/>
      <c r="L97" s="22"/>
      <c r="M97" s="22"/>
      <c r="N97" s="23" t="str">
        <f aca="false">IF(C97="","",SUM(J97:M97))</f>
        <v/>
      </c>
      <c r="O97" s="24" t="str">
        <f aca="false">IF(C97="","",IF(OR(D97="Lucro Real",E97="Indústria",N97&gt;500),"A",IF(OR(D97="Lucro Presumido",I97="S",N97&gt;=100),"B","C")))</f>
        <v/>
      </c>
      <c r="P97" s="21"/>
      <c r="Q97" s="24" t="str">
        <f aca="false">IF(C97="","",IF(P97&lt;&gt;"",P97,O97))</f>
        <v/>
      </c>
      <c r="R97" s="21"/>
      <c r="S97" s="21"/>
      <c r="T97" s="25"/>
      <c r="U97" s="23" t="str">
        <f aca="true">IF(T97="","",T97-TODAY())</f>
        <v/>
      </c>
      <c r="V97" s="21"/>
      <c r="W97" s="25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2"/>
      <c r="K98" s="22"/>
      <c r="L98" s="22"/>
      <c r="M98" s="22"/>
      <c r="N98" s="23" t="str">
        <f aca="false">IF(C98="","",SUM(J98:M98))</f>
        <v/>
      </c>
      <c r="O98" s="24" t="str">
        <f aca="false">IF(C98="","",IF(OR(D98="Lucro Real",E98="Indústria",N98&gt;500),"A",IF(OR(D98="Lucro Presumido",I98="S",N98&gt;=100),"B","C")))</f>
        <v/>
      </c>
      <c r="P98" s="21"/>
      <c r="Q98" s="24" t="str">
        <f aca="false">IF(C98="","",IF(P98&lt;&gt;"",P98,O98))</f>
        <v/>
      </c>
      <c r="R98" s="21"/>
      <c r="S98" s="21"/>
      <c r="T98" s="25"/>
      <c r="U98" s="23" t="str">
        <f aca="true">IF(T98="","",T98-TODAY())</f>
        <v/>
      </c>
      <c r="V98" s="21"/>
      <c r="W98" s="25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2"/>
      <c r="K99" s="22"/>
      <c r="L99" s="22"/>
      <c r="M99" s="22"/>
      <c r="N99" s="23" t="str">
        <f aca="false">IF(C99="","",SUM(J99:M99))</f>
        <v/>
      </c>
      <c r="O99" s="24" t="str">
        <f aca="false">IF(C99="","",IF(OR(D99="Lucro Real",E99="Indústria",N99&gt;500),"A",IF(OR(D99="Lucro Presumido",I99="S",N99&gt;=100),"B","C")))</f>
        <v/>
      </c>
      <c r="P99" s="21"/>
      <c r="Q99" s="24" t="str">
        <f aca="false">IF(C99="","",IF(P99&lt;&gt;"",P99,O99))</f>
        <v/>
      </c>
      <c r="R99" s="21"/>
      <c r="S99" s="21"/>
      <c r="T99" s="25"/>
      <c r="U99" s="23" t="str">
        <f aca="true">IF(T99="","",T99-TODAY())</f>
        <v/>
      </c>
      <c r="V99" s="21"/>
      <c r="W99" s="25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2"/>
      <c r="K100" s="22"/>
      <c r="L100" s="22"/>
      <c r="M100" s="22"/>
      <c r="N100" s="23" t="str">
        <f aca="false">IF(C100="","",SUM(J100:M100))</f>
        <v/>
      </c>
      <c r="O100" s="24" t="str">
        <f aca="false">IF(C100="","",IF(OR(D100="Lucro Real",E100="Indústria",N100&gt;500),"A",IF(OR(D100="Lucro Presumido",I100="S",N100&gt;=100),"B","C")))</f>
        <v/>
      </c>
      <c r="P100" s="21"/>
      <c r="Q100" s="24" t="str">
        <f aca="false">IF(C100="","",IF(P100&lt;&gt;"",P100,O100))</f>
        <v/>
      </c>
      <c r="R100" s="21"/>
      <c r="S100" s="21"/>
      <c r="T100" s="25"/>
      <c r="U100" s="23" t="str">
        <f aca="true">IF(T100="","",T100-TODAY())</f>
        <v/>
      </c>
      <c r="V100" s="21"/>
      <c r="W100" s="25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2"/>
      <c r="K101" s="22"/>
      <c r="L101" s="22"/>
      <c r="M101" s="22"/>
      <c r="N101" s="23" t="str">
        <f aca="false">IF(C101="","",SUM(J101:M101))</f>
        <v/>
      </c>
      <c r="O101" s="24" t="str">
        <f aca="false">IF(C101="","",IF(OR(D101="Lucro Real",E101="Indústria",N101&gt;500),"A",IF(OR(D101="Lucro Presumido",I101="S",N101&gt;=100),"B","C")))</f>
        <v/>
      </c>
      <c r="P101" s="21"/>
      <c r="Q101" s="24" t="str">
        <f aca="false">IF(C101="","",IF(P101&lt;&gt;"",P101,O101))</f>
        <v/>
      </c>
      <c r="R101" s="21"/>
      <c r="S101" s="21"/>
      <c r="T101" s="25"/>
      <c r="U101" s="23" t="str">
        <f aca="true">IF(T101="","",T101-TODAY())</f>
        <v/>
      </c>
      <c r="V101" s="21"/>
      <c r="W101" s="25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2"/>
      <c r="K102" s="22"/>
      <c r="L102" s="22"/>
      <c r="M102" s="22"/>
      <c r="N102" s="23" t="str">
        <f aca="false">IF(C102="","",SUM(J102:M102))</f>
        <v/>
      </c>
      <c r="O102" s="24" t="str">
        <f aca="false">IF(C102="","",IF(OR(D102="Lucro Real",E102="Indústria",N102&gt;500),"A",IF(OR(D102="Lucro Presumido",I102="S",N102&gt;=100),"B","C")))</f>
        <v/>
      </c>
      <c r="P102" s="21"/>
      <c r="Q102" s="24" t="str">
        <f aca="false">IF(C102="","",IF(P102&lt;&gt;"",P102,O102))</f>
        <v/>
      </c>
      <c r="R102" s="21"/>
      <c r="S102" s="21"/>
      <c r="T102" s="25"/>
      <c r="U102" s="23" t="str">
        <f aca="true">IF(T102="","",T102-TODAY())</f>
        <v/>
      </c>
      <c r="V102" s="21"/>
      <c r="W102" s="25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2"/>
      <c r="K103" s="22"/>
      <c r="L103" s="22"/>
      <c r="M103" s="22"/>
      <c r="N103" s="23" t="str">
        <f aca="false">IF(C103="","",SUM(J103:M103))</f>
        <v/>
      </c>
      <c r="O103" s="24" t="str">
        <f aca="false">IF(C103="","",IF(OR(D103="Lucro Real",E103="Indústria",N103&gt;500),"A",IF(OR(D103="Lucro Presumido",I103="S",N103&gt;=100),"B","C")))</f>
        <v/>
      </c>
      <c r="P103" s="21"/>
      <c r="Q103" s="24" t="str">
        <f aca="false">IF(C103="","",IF(P103&lt;&gt;"",P103,O103))</f>
        <v/>
      </c>
      <c r="R103" s="21"/>
      <c r="S103" s="21"/>
      <c r="T103" s="25"/>
      <c r="U103" s="23" t="str">
        <f aca="true">IF(T103="","",T103-TODAY())</f>
        <v/>
      </c>
      <c r="V103" s="21"/>
      <c r="W103" s="25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2"/>
      <c r="K104" s="22"/>
      <c r="L104" s="22"/>
      <c r="M104" s="22"/>
      <c r="N104" s="23" t="str">
        <f aca="false">IF(C104="","",SUM(J104:M104))</f>
        <v/>
      </c>
      <c r="O104" s="24" t="str">
        <f aca="false">IF(C104="","",IF(OR(D104="Lucro Real",E104="Indústria",N104&gt;500),"A",IF(OR(D104="Lucro Presumido",I104="S",N104&gt;=100),"B","C")))</f>
        <v/>
      </c>
      <c r="P104" s="21"/>
      <c r="Q104" s="24" t="str">
        <f aca="false">IF(C104="","",IF(P104&lt;&gt;"",P104,O104))</f>
        <v/>
      </c>
      <c r="R104" s="21"/>
      <c r="S104" s="21"/>
      <c r="T104" s="25"/>
      <c r="U104" s="23" t="str">
        <f aca="true">IF(T104="","",T104-TODAY())</f>
        <v/>
      </c>
      <c r="V104" s="21"/>
      <c r="W104" s="25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2"/>
      <c r="K105" s="22"/>
      <c r="L105" s="22"/>
      <c r="M105" s="22"/>
      <c r="N105" s="23" t="str">
        <f aca="false">IF(C105="","",SUM(J105:M105))</f>
        <v/>
      </c>
      <c r="O105" s="24" t="str">
        <f aca="false">IF(C105="","",IF(OR(D105="Lucro Real",E105="Indústria",N105&gt;500),"A",IF(OR(D105="Lucro Presumido",I105="S",N105&gt;=100),"B","C")))</f>
        <v/>
      </c>
      <c r="P105" s="21"/>
      <c r="Q105" s="24" t="str">
        <f aca="false">IF(C105="","",IF(P105&lt;&gt;"",P105,O105))</f>
        <v/>
      </c>
      <c r="R105" s="21"/>
      <c r="S105" s="21"/>
      <c r="T105" s="25"/>
      <c r="U105" s="23" t="str">
        <f aca="true">IF(T105="","",T105-TODAY())</f>
        <v/>
      </c>
      <c r="V105" s="21"/>
      <c r="W105" s="25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2"/>
      <c r="K106" s="22"/>
      <c r="L106" s="22"/>
      <c r="M106" s="22"/>
      <c r="N106" s="23" t="str">
        <f aca="false">IF(C106="","",SUM(J106:M106))</f>
        <v/>
      </c>
      <c r="O106" s="24" t="str">
        <f aca="false">IF(C106="","",IF(OR(D106="Lucro Real",E106="Indústria",N106&gt;500),"A",IF(OR(D106="Lucro Presumido",I106="S",N106&gt;=100),"B","C")))</f>
        <v/>
      </c>
      <c r="P106" s="21"/>
      <c r="Q106" s="24" t="str">
        <f aca="false">IF(C106="","",IF(P106&lt;&gt;"",P106,O106))</f>
        <v/>
      </c>
      <c r="R106" s="21"/>
      <c r="S106" s="21"/>
      <c r="T106" s="25"/>
      <c r="U106" s="23" t="str">
        <f aca="true">IF(T106="","",T106-TODAY())</f>
        <v/>
      </c>
      <c r="V106" s="21"/>
      <c r="W106" s="25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2"/>
      <c r="K107" s="22"/>
      <c r="L107" s="22"/>
      <c r="M107" s="22"/>
      <c r="N107" s="23" t="str">
        <f aca="false">IF(C107="","",SUM(J107:M107))</f>
        <v/>
      </c>
      <c r="O107" s="24" t="str">
        <f aca="false">IF(C107="","",IF(OR(D107="Lucro Real",E107="Indústria",N107&gt;500),"A",IF(OR(D107="Lucro Presumido",I107="S",N107&gt;=100),"B","C")))</f>
        <v/>
      </c>
      <c r="P107" s="21"/>
      <c r="Q107" s="24" t="str">
        <f aca="false">IF(C107="","",IF(P107&lt;&gt;"",P107,O107))</f>
        <v/>
      </c>
      <c r="R107" s="21"/>
      <c r="S107" s="21"/>
      <c r="T107" s="25"/>
      <c r="U107" s="23" t="str">
        <f aca="true">IF(T107="","",T107-TODAY())</f>
        <v/>
      </c>
      <c r="V107" s="21"/>
      <c r="W107" s="25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2"/>
      <c r="K108" s="22"/>
      <c r="L108" s="22"/>
      <c r="M108" s="22"/>
      <c r="N108" s="23" t="str">
        <f aca="false">IF(C108="","",SUM(J108:M108))</f>
        <v/>
      </c>
      <c r="O108" s="24" t="str">
        <f aca="false">IF(C108="","",IF(OR(D108="Lucro Real",E108="Indústria",N108&gt;500),"A",IF(OR(D108="Lucro Presumido",I108="S",N108&gt;=100),"B","C")))</f>
        <v/>
      </c>
      <c r="P108" s="21"/>
      <c r="Q108" s="24" t="str">
        <f aca="false">IF(C108="","",IF(P108&lt;&gt;"",P108,O108))</f>
        <v/>
      </c>
      <c r="R108" s="21"/>
      <c r="S108" s="21"/>
      <c r="T108" s="25"/>
      <c r="U108" s="23" t="str">
        <f aca="true">IF(T108="","",T108-TODAY())</f>
        <v/>
      </c>
      <c r="V108" s="21"/>
      <c r="W108" s="25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2"/>
      <c r="K109" s="22"/>
      <c r="L109" s="22"/>
      <c r="M109" s="22"/>
      <c r="N109" s="23" t="str">
        <f aca="false">IF(C109="","",SUM(J109:M109))</f>
        <v/>
      </c>
      <c r="O109" s="24" t="str">
        <f aca="false">IF(C109="","",IF(OR(D109="Lucro Real",E109="Indústria",N109&gt;500),"A",IF(OR(D109="Lucro Presumido",I109="S",N109&gt;=100),"B","C")))</f>
        <v/>
      </c>
      <c r="P109" s="21"/>
      <c r="Q109" s="24" t="str">
        <f aca="false">IF(C109="","",IF(P109&lt;&gt;"",P109,O109))</f>
        <v/>
      </c>
      <c r="R109" s="21"/>
      <c r="S109" s="21"/>
      <c r="T109" s="25"/>
      <c r="U109" s="23" t="str">
        <f aca="true">IF(T109="","",T109-TODAY())</f>
        <v/>
      </c>
      <c r="V109" s="21"/>
      <c r="W109" s="25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2"/>
      <c r="K110" s="22"/>
      <c r="L110" s="22"/>
      <c r="M110" s="22"/>
      <c r="N110" s="23" t="str">
        <f aca="false">IF(C110="","",SUM(J110:M110))</f>
        <v/>
      </c>
      <c r="O110" s="24" t="str">
        <f aca="false">IF(C110="","",IF(OR(D110="Lucro Real",E110="Indústria",N110&gt;500),"A",IF(OR(D110="Lucro Presumido",I110="S",N110&gt;=100),"B","C")))</f>
        <v/>
      </c>
      <c r="P110" s="21"/>
      <c r="Q110" s="24" t="str">
        <f aca="false">IF(C110="","",IF(P110&lt;&gt;"",P110,O110))</f>
        <v/>
      </c>
      <c r="R110" s="21"/>
      <c r="S110" s="21"/>
      <c r="T110" s="25"/>
      <c r="U110" s="23" t="str">
        <f aca="true">IF(T110="","",T110-TODAY())</f>
        <v/>
      </c>
      <c r="V110" s="21"/>
      <c r="W110" s="25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2"/>
      <c r="K111" s="22"/>
      <c r="L111" s="22"/>
      <c r="M111" s="22"/>
      <c r="N111" s="23" t="str">
        <f aca="false">IF(C111="","",SUM(J111:M111))</f>
        <v/>
      </c>
      <c r="O111" s="24" t="str">
        <f aca="false">IF(C111="","",IF(OR(D111="Lucro Real",E111="Indústria",N111&gt;500),"A",IF(OR(D111="Lucro Presumido",I111="S",N111&gt;=100),"B","C")))</f>
        <v/>
      </c>
      <c r="P111" s="21"/>
      <c r="Q111" s="24" t="str">
        <f aca="false">IF(C111="","",IF(P111&lt;&gt;"",P111,O111))</f>
        <v/>
      </c>
      <c r="R111" s="21"/>
      <c r="S111" s="21"/>
      <c r="T111" s="25"/>
      <c r="U111" s="23" t="str">
        <f aca="true">IF(T111="","",T111-TODAY())</f>
        <v/>
      </c>
      <c r="V111" s="21"/>
      <c r="W111" s="25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2"/>
      <c r="K112" s="22"/>
      <c r="L112" s="22"/>
      <c r="M112" s="22"/>
      <c r="N112" s="23" t="str">
        <f aca="false">IF(C112="","",SUM(J112:M112))</f>
        <v/>
      </c>
      <c r="O112" s="24" t="str">
        <f aca="false">IF(C112="","",IF(OR(D112="Lucro Real",E112="Indústria",N112&gt;500),"A",IF(OR(D112="Lucro Presumido",I112="S",N112&gt;=100),"B","C")))</f>
        <v/>
      </c>
      <c r="P112" s="21"/>
      <c r="Q112" s="24" t="str">
        <f aca="false">IF(C112="","",IF(P112&lt;&gt;"",P112,O112))</f>
        <v/>
      </c>
      <c r="R112" s="21"/>
      <c r="S112" s="21"/>
      <c r="T112" s="25"/>
      <c r="U112" s="23" t="str">
        <f aca="true">IF(T112="","",T112-TODAY())</f>
        <v/>
      </c>
      <c r="V112" s="21"/>
      <c r="W112" s="25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2"/>
      <c r="K113" s="22"/>
      <c r="L113" s="22"/>
      <c r="M113" s="22"/>
      <c r="N113" s="23" t="str">
        <f aca="false">IF(C113="","",SUM(J113:M113))</f>
        <v/>
      </c>
      <c r="O113" s="24" t="str">
        <f aca="false">IF(C113="","",IF(OR(D113="Lucro Real",E113="Indústria",N113&gt;500),"A",IF(OR(D113="Lucro Presumido",I113="S",N113&gt;=100),"B","C")))</f>
        <v/>
      </c>
      <c r="P113" s="21"/>
      <c r="Q113" s="24" t="str">
        <f aca="false">IF(C113="","",IF(P113&lt;&gt;"",P113,O113))</f>
        <v/>
      </c>
      <c r="R113" s="21"/>
      <c r="S113" s="21"/>
      <c r="T113" s="25"/>
      <c r="U113" s="23" t="str">
        <f aca="true">IF(T113="","",T113-TODAY())</f>
        <v/>
      </c>
      <c r="V113" s="21"/>
      <c r="W113" s="25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2"/>
      <c r="K114" s="22"/>
      <c r="L114" s="22"/>
      <c r="M114" s="22"/>
      <c r="N114" s="23" t="str">
        <f aca="false">IF(C114="","",SUM(J114:M114))</f>
        <v/>
      </c>
      <c r="O114" s="24" t="str">
        <f aca="false">IF(C114="","",IF(OR(D114="Lucro Real",E114="Indústria",N114&gt;500),"A",IF(OR(D114="Lucro Presumido",I114="S",N114&gt;=100),"B","C")))</f>
        <v/>
      </c>
      <c r="P114" s="21"/>
      <c r="Q114" s="24" t="str">
        <f aca="false">IF(C114="","",IF(P114&lt;&gt;"",P114,O114))</f>
        <v/>
      </c>
      <c r="R114" s="21"/>
      <c r="S114" s="21"/>
      <c r="T114" s="25"/>
      <c r="U114" s="23" t="str">
        <f aca="true">IF(T114="","",T114-TODAY())</f>
        <v/>
      </c>
      <c r="V114" s="21"/>
      <c r="W114" s="25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2"/>
      <c r="K115" s="22"/>
      <c r="L115" s="22"/>
      <c r="M115" s="22"/>
      <c r="N115" s="23" t="str">
        <f aca="false">IF(C115="","",SUM(J115:M115))</f>
        <v/>
      </c>
      <c r="O115" s="24" t="str">
        <f aca="false">IF(C115="","",IF(OR(D115="Lucro Real",E115="Indústria",N115&gt;500),"A",IF(OR(D115="Lucro Presumido",I115="S",N115&gt;=100),"B","C")))</f>
        <v/>
      </c>
      <c r="P115" s="21"/>
      <c r="Q115" s="24" t="str">
        <f aca="false">IF(C115="","",IF(P115&lt;&gt;"",P115,O115))</f>
        <v/>
      </c>
      <c r="R115" s="21"/>
      <c r="S115" s="21"/>
      <c r="T115" s="25"/>
      <c r="U115" s="23" t="str">
        <f aca="true">IF(T115="","",T115-TODAY())</f>
        <v/>
      </c>
      <c r="V115" s="21"/>
      <c r="W115" s="25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2"/>
      <c r="K116" s="22"/>
      <c r="L116" s="22"/>
      <c r="M116" s="22"/>
      <c r="N116" s="23" t="str">
        <f aca="false">IF(C116="","",SUM(J116:M116))</f>
        <v/>
      </c>
      <c r="O116" s="24" t="str">
        <f aca="false">IF(C116="","",IF(OR(D116="Lucro Real",E116="Indústria",N116&gt;500),"A",IF(OR(D116="Lucro Presumido",I116="S",N116&gt;=100),"B","C")))</f>
        <v/>
      </c>
      <c r="P116" s="21"/>
      <c r="Q116" s="24" t="str">
        <f aca="false">IF(C116="","",IF(P116&lt;&gt;"",P116,O116))</f>
        <v/>
      </c>
      <c r="R116" s="21"/>
      <c r="S116" s="21"/>
      <c r="T116" s="25"/>
      <c r="U116" s="23" t="str">
        <f aca="true">IF(T116="","",T116-TODAY())</f>
        <v/>
      </c>
      <c r="V116" s="21"/>
      <c r="W116" s="25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2"/>
      <c r="K117" s="22"/>
      <c r="L117" s="22"/>
      <c r="M117" s="22"/>
      <c r="N117" s="23" t="str">
        <f aca="false">IF(C117="","",SUM(J117:M117))</f>
        <v/>
      </c>
      <c r="O117" s="24" t="str">
        <f aca="false">IF(C117="","",IF(OR(D117="Lucro Real",E117="Indústria",N117&gt;500),"A",IF(OR(D117="Lucro Presumido",I117="S",N117&gt;=100),"B","C")))</f>
        <v/>
      </c>
      <c r="P117" s="21"/>
      <c r="Q117" s="24" t="str">
        <f aca="false">IF(C117="","",IF(P117&lt;&gt;"",P117,O117))</f>
        <v/>
      </c>
      <c r="R117" s="21"/>
      <c r="S117" s="21"/>
      <c r="T117" s="25"/>
      <c r="U117" s="23" t="str">
        <f aca="true">IF(T117="","",T117-TODAY())</f>
        <v/>
      </c>
      <c r="V117" s="21"/>
      <c r="W117" s="25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2"/>
      <c r="K118" s="22"/>
      <c r="L118" s="22"/>
      <c r="M118" s="22"/>
      <c r="N118" s="23" t="str">
        <f aca="false">IF(C118="","",SUM(J118:M118))</f>
        <v/>
      </c>
      <c r="O118" s="24" t="str">
        <f aca="false">IF(C118="","",IF(OR(D118="Lucro Real",E118="Indústria",N118&gt;500),"A",IF(OR(D118="Lucro Presumido",I118="S",N118&gt;=100),"B","C")))</f>
        <v/>
      </c>
      <c r="P118" s="21"/>
      <c r="Q118" s="24" t="str">
        <f aca="false">IF(C118="","",IF(P118&lt;&gt;"",P118,O118))</f>
        <v/>
      </c>
      <c r="R118" s="21"/>
      <c r="S118" s="21"/>
      <c r="T118" s="25"/>
      <c r="U118" s="23" t="str">
        <f aca="true">IF(T118="","",T118-TODAY())</f>
        <v/>
      </c>
      <c r="V118" s="21"/>
      <c r="W118" s="25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2"/>
      <c r="K119" s="22"/>
      <c r="L119" s="22"/>
      <c r="M119" s="22"/>
      <c r="N119" s="23" t="str">
        <f aca="false">IF(C119="","",SUM(J119:M119))</f>
        <v/>
      </c>
      <c r="O119" s="24" t="str">
        <f aca="false">IF(C119="","",IF(OR(D119="Lucro Real",E119="Indústria",N119&gt;500),"A",IF(OR(D119="Lucro Presumido",I119="S",N119&gt;=100),"B","C")))</f>
        <v/>
      </c>
      <c r="P119" s="21"/>
      <c r="Q119" s="24" t="str">
        <f aca="false">IF(C119="","",IF(P119&lt;&gt;"",P119,O119))</f>
        <v/>
      </c>
      <c r="R119" s="21"/>
      <c r="S119" s="21"/>
      <c r="T119" s="25"/>
      <c r="U119" s="23" t="str">
        <f aca="true">IF(T119="","",T119-TODAY())</f>
        <v/>
      </c>
      <c r="V119" s="21"/>
      <c r="W119" s="25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2"/>
      <c r="K120" s="22"/>
      <c r="L120" s="22"/>
      <c r="M120" s="22"/>
      <c r="N120" s="23" t="str">
        <f aca="false">IF(C120="","",SUM(J120:M120))</f>
        <v/>
      </c>
      <c r="O120" s="24" t="str">
        <f aca="false">IF(C120="","",IF(OR(D120="Lucro Real",E120="Indústria",N120&gt;500),"A",IF(OR(D120="Lucro Presumido",I120="S",N120&gt;=100),"B","C")))</f>
        <v/>
      </c>
      <c r="P120" s="21"/>
      <c r="Q120" s="24" t="str">
        <f aca="false">IF(C120="","",IF(P120&lt;&gt;"",P120,O120))</f>
        <v/>
      </c>
      <c r="R120" s="21"/>
      <c r="S120" s="21"/>
      <c r="T120" s="25"/>
      <c r="U120" s="23" t="str">
        <f aca="true">IF(T120="","",T120-TODAY())</f>
        <v/>
      </c>
      <c r="V120" s="21"/>
      <c r="W120" s="25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2"/>
      <c r="K121" s="22"/>
      <c r="L121" s="22"/>
      <c r="M121" s="22"/>
      <c r="N121" s="23" t="str">
        <f aca="false">IF(C121="","",SUM(J121:M121))</f>
        <v/>
      </c>
      <c r="O121" s="24" t="str">
        <f aca="false">IF(C121="","",IF(OR(D121="Lucro Real",E121="Indústria",N121&gt;500),"A",IF(OR(D121="Lucro Presumido",I121="S",N121&gt;=100),"B","C")))</f>
        <v/>
      </c>
      <c r="P121" s="21"/>
      <c r="Q121" s="24" t="str">
        <f aca="false">IF(C121="","",IF(P121&lt;&gt;"",P121,O121))</f>
        <v/>
      </c>
      <c r="R121" s="21"/>
      <c r="S121" s="21"/>
      <c r="T121" s="25"/>
      <c r="U121" s="23" t="str">
        <f aca="true">IF(T121="","",T121-TODAY())</f>
        <v/>
      </c>
      <c r="V121" s="21"/>
      <c r="W121" s="25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2"/>
      <c r="K122" s="22"/>
      <c r="L122" s="22"/>
      <c r="M122" s="22"/>
      <c r="N122" s="23" t="str">
        <f aca="false">IF(C122="","",SUM(J122:M122))</f>
        <v/>
      </c>
      <c r="O122" s="24" t="str">
        <f aca="false">IF(C122="","",IF(OR(D122="Lucro Real",E122="Indústria",N122&gt;500),"A",IF(OR(D122="Lucro Presumido",I122="S",N122&gt;=100),"B","C")))</f>
        <v/>
      </c>
      <c r="P122" s="21"/>
      <c r="Q122" s="24" t="str">
        <f aca="false">IF(C122="","",IF(P122&lt;&gt;"",P122,O122))</f>
        <v/>
      </c>
      <c r="R122" s="21"/>
      <c r="S122" s="21"/>
      <c r="T122" s="25"/>
      <c r="U122" s="23" t="str">
        <f aca="true">IF(T122="","",T122-TODAY())</f>
        <v/>
      </c>
      <c r="V122" s="21"/>
      <c r="W122" s="25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2"/>
      <c r="K123" s="22"/>
      <c r="L123" s="22"/>
      <c r="M123" s="22"/>
      <c r="N123" s="23" t="str">
        <f aca="false">IF(C123="","",SUM(J123:M123))</f>
        <v/>
      </c>
      <c r="O123" s="24" t="str">
        <f aca="false">IF(C123="","",IF(OR(D123="Lucro Real",E123="Indústria",N123&gt;500),"A",IF(OR(D123="Lucro Presumido",I123="S",N123&gt;=100),"B","C")))</f>
        <v/>
      </c>
      <c r="P123" s="21"/>
      <c r="Q123" s="24" t="str">
        <f aca="false">IF(C123="","",IF(P123&lt;&gt;"",P123,O123))</f>
        <v/>
      </c>
      <c r="R123" s="21"/>
      <c r="S123" s="21"/>
      <c r="T123" s="25"/>
      <c r="U123" s="23" t="str">
        <f aca="true">IF(T123="","",T123-TODAY())</f>
        <v/>
      </c>
      <c r="V123" s="21"/>
      <c r="W123" s="25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2"/>
      <c r="K124" s="22"/>
      <c r="L124" s="22"/>
      <c r="M124" s="22"/>
      <c r="N124" s="23" t="str">
        <f aca="false">IF(C124="","",SUM(J124:M124))</f>
        <v/>
      </c>
      <c r="O124" s="24" t="str">
        <f aca="false">IF(C124="","",IF(OR(D124="Lucro Real",E124="Indústria",N124&gt;500),"A",IF(OR(D124="Lucro Presumido",I124="S",N124&gt;=100),"B","C")))</f>
        <v/>
      </c>
      <c r="P124" s="21"/>
      <c r="Q124" s="24" t="str">
        <f aca="false">IF(C124="","",IF(P124&lt;&gt;"",P124,O124))</f>
        <v/>
      </c>
      <c r="R124" s="21"/>
      <c r="S124" s="21"/>
      <c r="T124" s="25"/>
      <c r="U124" s="23" t="str">
        <f aca="true">IF(T124="","",T124-TODAY())</f>
        <v/>
      </c>
      <c r="V124" s="21"/>
      <c r="W124" s="25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2"/>
      <c r="K125" s="22"/>
      <c r="L125" s="22"/>
      <c r="M125" s="22"/>
      <c r="N125" s="23" t="str">
        <f aca="false">IF(C125="","",SUM(J125:M125))</f>
        <v/>
      </c>
      <c r="O125" s="24" t="str">
        <f aca="false">IF(C125="","",IF(OR(D125="Lucro Real",E125="Indústria",N125&gt;500),"A",IF(OR(D125="Lucro Presumido",I125="S",N125&gt;=100),"B","C")))</f>
        <v/>
      </c>
      <c r="P125" s="21"/>
      <c r="Q125" s="24" t="str">
        <f aca="false">IF(C125="","",IF(P125&lt;&gt;"",P125,O125))</f>
        <v/>
      </c>
      <c r="R125" s="21"/>
      <c r="S125" s="21"/>
      <c r="T125" s="25"/>
      <c r="U125" s="23" t="str">
        <f aca="true">IF(T125="","",T125-TODAY())</f>
        <v/>
      </c>
      <c r="V125" s="21"/>
      <c r="W125" s="25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2"/>
      <c r="K126" s="22"/>
      <c r="L126" s="22"/>
      <c r="M126" s="22"/>
      <c r="N126" s="23" t="str">
        <f aca="false">IF(C126="","",SUM(J126:M126))</f>
        <v/>
      </c>
      <c r="O126" s="24" t="str">
        <f aca="false">IF(C126="","",IF(OR(D126="Lucro Real",E126="Indústria",N126&gt;500),"A",IF(OR(D126="Lucro Presumido",I126="S",N126&gt;=100),"B","C")))</f>
        <v/>
      </c>
      <c r="P126" s="21"/>
      <c r="Q126" s="24" t="str">
        <f aca="false">IF(C126="","",IF(P126&lt;&gt;"",P126,O126))</f>
        <v/>
      </c>
      <c r="R126" s="21"/>
      <c r="S126" s="21"/>
      <c r="T126" s="25"/>
      <c r="U126" s="23" t="str">
        <f aca="true">IF(T126="","",T126-TODAY())</f>
        <v/>
      </c>
      <c r="V126" s="21"/>
      <c r="W126" s="25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2"/>
      <c r="K127" s="22"/>
      <c r="L127" s="22"/>
      <c r="M127" s="22"/>
      <c r="N127" s="23" t="str">
        <f aca="false">IF(C127="","",SUM(J127:M127))</f>
        <v/>
      </c>
      <c r="O127" s="24" t="str">
        <f aca="false">IF(C127="","",IF(OR(D127="Lucro Real",E127="Indústria",N127&gt;500),"A",IF(OR(D127="Lucro Presumido",I127="S",N127&gt;=100),"B","C")))</f>
        <v/>
      </c>
      <c r="P127" s="21"/>
      <c r="Q127" s="24" t="str">
        <f aca="false">IF(C127="","",IF(P127&lt;&gt;"",P127,O127))</f>
        <v/>
      </c>
      <c r="R127" s="21"/>
      <c r="S127" s="21"/>
      <c r="T127" s="25"/>
      <c r="U127" s="23" t="str">
        <f aca="true">IF(T127="","",T127-TODAY())</f>
        <v/>
      </c>
      <c r="V127" s="21"/>
      <c r="W127" s="25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2"/>
      <c r="K128" s="22"/>
      <c r="L128" s="22"/>
      <c r="M128" s="22"/>
      <c r="N128" s="23" t="str">
        <f aca="false">IF(C128="","",SUM(J128:M128))</f>
        <v/>
      </c>
      <c r="O128" s="24" t="str">
        <f aca="false">IF(C128="","",IF(OR(D128="Lucro Real",E128="Indústria",N128&gt;500),"A",IF(OR(D128="Lucro Presumido",I128="S",N128&gt;=100),"B","C")))</f>
        <v/>
      </c>
      <c r="P128" s="21"/>
      <c r="Q128" s="24" t="str">
        <f aca="false">IF(C128="","",IF(P128&lt;&gt;"",P128,O128))</f>
        <v/>
      </c>
      <c r="R128" s="21"/>
      <c r="S128" s="21"/>
      <c r="T128" s="25"/>
      <c r="U128" s="23" t="str">
        <f aca="true">IF(T128="","",T128-TODAY())</f>
        <v/>
      </c>
      <c r="V128" s="21"/>
      <c r="W128" s="25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2"/>
      <c r="K129" s="22"/>
      <c r="L129" s="22"/>
      <c r="M129" s="22"/>
      <c r="N129" s="23" t="str">
        <f aca="false">IF(C129="","",SUM(J129:M129))</f>
        <v/>
      </c>
      <c r="O129" s="24" t="str">
        <f aca="false">IF(C129="","",IF(OR(D129="Lucro Real",E129="Indústria",N129&gt;500),"A",IF(OR(D129="Lucro Presumido",I129="S",N129&gt;=100),"B","C")))</f>
        <v/>
      </c>
      <c r="P129" s="21"/>
      <c r="Q129" s="24" t="str">
        <f aca="false">IF(C129="","",IF(P129&lt;&gt;"",P129,O129))</f>
        <v/>
      </c>
      <c r="R129" s="21"/>
      <c r="S129" s="21"/>
      <c r="T129" s="25"/>
      <c r="U129" s="23" t="str">
        <f aca="true">IF(T129="","",T129-TODAY())</f>
        <v/>
      </c>
      <c r="V129" s="21"/>
      <c r="W129" s="25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2"/>
      <c r="K130" s="22"/>
      <c r="L130" s="22"/>
      <c r="M130" s="22"/>
      <c r="N130" s="23" t="str">
        <f aca="false">IF(C130="","",SUM(J130:M130))</f>
        <v/>
      </c>
      <c r="O130" s="24" t="str">
        <f aca="false">IF(C130="","",IF(OR(D130="Lucro Real",E130="Indústria",N130&gt;500),"A",IF(OR(D130="Lucro Presumido",I130="S",N130&gt;=100),"B","C")))</f>
        <v/>
      </c>
      <c r="P130" s="21"/>
      <c r="Q130" s="24" t="str">
        <f aca="false">IF(C130="","",IF(P130&lt;&gt;"",P130,O130))</f>
        <v/>
      </c>
      <c r="R130" s="21"/>
      <c r="S130" s="21"/>
      <c r="T130" s="25"/>
      <c r="U130" s="23" t="str">
        <f aca="true">IF(T130="","",T130-TODAY())</f>
        <v/>
      </c>
      <c r="V130" s="21"/>
      <c r="W130" s="25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2"/>
      <c r="K131" s="22"/>
      <c r="L131" s="22"/>
      <c r="M131" s="22"/>
      <c r="N131" s="23" t="str">
        <f aca="false">IF(C131="","",SUM(J131:M131))</f>
        <v/>
      </c>
      <c r="O131" s="24" t="str">
        <f aca="false">IF(C131="","",IF(OR(D131="Lucro Real",E131="Indústria",N131&gt;500),"A",IF(OR(D131="Lucro Presumido",I131="S",N131&gt;=100),"B","C")))</f>
        <v/>
      </c>
      <c r="P131" s="21"/>
      <c r="Q131" s="24" t="str">
        <f aca="false">IF(C131="","",IF(P131&lt;&gt;"",P131,O131))</f>
        <v/>
      </c>
      <c r="R131" s="21"/>
      <c r="S131" s="21"/>
      <c r="T131" s="25"/>
      <c r="U131" s="23" t="str">
        <f aca="true">IF(T131="","",T131-TODAY())</f>
        <v/>
      </c>
      <c r="V131" s="21"/>
      <c r="W131" s="25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2"/>
      <c r="K132" s="22"/>
      <c r="L132" s="22"/>
      <c r="M132" s="22"/>
      <c r="N132" s="23" t="str">
        <f aca="false">IF(C132="","",SUM(J132:M132))</f>
        <v/>
      </c>
      <c r="O132" s="24" t="str">
        <f aca="false">IF(C132="","",IF(OR(D132="Lucro Real",E132="Indústria",N132&gt;500),"A",IF(OR(D132="Lucro Presumido",I132="S",N132&gt;=100),"B","C")))</f>
        <v/>
      </c>
      <c r="P132" s="21"/>
      <c r="Q132" s="24" t="str">
        <f aca="false">IF(C132="","",IF(P132&lt;&gt;"",P132,O132))</f>
        <v/>
      </c>
      <c r="R132" s="21"/>
      <c r="S132" s="21"/>
      <c r="T132" s="25"/>
      <c r="U132" s="23" t="str">
        <f aca="true">IF(T132="","",T132-TODAY())</f>
        <v/>
      </c>
      <c r="V132" s="21"/>
      <c r="W132" s="25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2"/>
      <c r="K133" s="22"/>
      <c r="L133" s="22"/>
      <c r="M133" s="22"/>
      <c r="N133" s="23" t="str">
        <f aca="false">IF(C133="","",SUM(J133:M133))</f>
        <v/>
      </c>
      <c r="O133" s="24" t="str">
        <f aca="false">IF(C133="","",IF(OR(D133="Lucro Real",E133="Indústria",N133&gt;500),"A",IF(OR(D133="Lucro Presumido",I133="S",N133&gt;=100),"B","C")))</f>
        <v/>
      </c>
      <c r="P133" s="21"/>
      <c r="Q133" s="24" t="str">
        <f aca="false">IF(C133="","",IF(P133&lt;&gt;"",P133,O133))</f>
        <v/>
      </c>
      <c r="R133" s="21"/>
      <c r="S133" s="21"/>
      <c r="T133" s="25"/>
      <c r="U133" s="23" t="str">
        <f aca="true">IF(T133="","",T133-TODAY())</f>
        <v/>
      </c>
      <c r="V133" s="21"/>
      <c r="W133" s="25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2"/>
      <c r="K134" s="22"/>
      <c r="L134" s="22"/>
      <c r="M134" s="22"/>
      <c r="N134" s="23" t="str">
        <f aca="false">IF(C134="","",SUM(J134:M134))</f>
        <v/>
      </c>
      <c r="O134" s="24" t="str">
        <f aca="false">IF(C134="","",IF(OR(D134="Lucro Real",E134="Indústria",N134&gt;500),"A",IF(OR(D134="Lucro Presumido",I134="S",N134&gt;=100),"B","C")))</f>
        <v/>
      </c>
      <c r="P134" s="21"/>
      <c r="Q134" s="24" t="str">
        <f aca="false">IF(C134="","",IF(P134&lt;&gt;"",P134,O134))</f>
        <v/>
      </c>
      <c r="R134" s="21"/>
      <c r="S134" s="21"/>
      <c r="T134" s="25"/>
      <c r="U134" s="23" t="str">
        <f aca="true">IF(T134="","",T134-TODAY())</f>
        <v/>
      </c>
      <c r="V134" s="21"/>
      <c r="W134" s="25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2"/>
      <c r="K135" s="22"/>
      <c r="L135" s="22"/>
      <c r="M135" s="22"/>
      <c r="N135" s="23" t="str">
        <f aca="false">IF(C135="","",SUM(J135:M135))</f>
        <v/>
      </c>
      <c r="O135" s="24" t="str">
        <f aca="false">IF(C135="","",IF(OR(D135="Lucro Real",E135="Indústria",N135&gt;500),"A",IF(OR(D135="Lucro Presumido",I135="S",N135&gt;=100),"B","C")))</f>
        <v/>
      </c>
      <c r="P135" s="21"/>
      <c r="Q135" s="24" t="str">
        <f aca="false">IF(C135="","",IF(P135&lt;&gt;"",P135,O135))</f>
        <v/>
      </c>
      <c r="R135" s="21"/>
      <c r="S135" s="21"/>
      <c r="T135" s="25"/>
      <c r="U135" s="23" t="str">
        <f aca="true">IF(T135="","",T135-TODAY())</f>
        <v/>
      </c>
      <c r="V135" s="21"/>
      <c r="W135" s="25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2"/>
      <c r="K136" s="22"/>
      <c r="L136" s="22"/>
      <c r="M136" s="22"/>
      <c r="N136" s="23" t="str">
        <f aca="false">IF(C136="","",SUM(J136:M136))</f>
        <v/>
      </c>
      <c r="O136" s="24" t="str">
        <f aca="false">IF(C136="","",IF(OR(D136="Lucro Real",E136="Indústria",N136&gt;500),"A",IF(OR(D136="Lucro Presumido",I136="S",N136&gt;=100),"B","C")))</f>
        <v/>
      </c>
      <c r="P136" s="21"/>
      <c r="Q136" s="24" t="str">
        <f aca="false">IF(C136="","",IF(P136&lt;&gt;"",P136,O136))</f>
        <v/>
      </c>
      <c r="R136" s="21"/>
      <c r="S136" s="21"/>
      <c r="T136" s="25"/>
      <c r="U136" s="23" t="str">
        <f aca="true">IF(T136="","",T136-TODAY())</f>
        <v/>
      </c>
      <c r="V136" s="21"/>
      <c r="W136" s="25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2"/>
      <c r="K137" s="22"/>
      <c r="L137" s="22"/>
      <c r="M137" s="22"/>
      <c r="N137" s="23" t="str">
        <f aca="false">IF(C137="","",SUM(J137:M137))</f>
        <v/>
      </c>
      <c r="O137" s="24" t="str">
        <f aca="false">IF(C137="","",IF(OR(D137="Lucro Real",E137="Indústria",N137&gt;500),"A",IF(OR(D137="Lucro Presumido",I137="S",N137&gt;=100),"B","C")))</f>
        <v/>
      </c>
      <c r="P137" s="21"/>
      <c r="Q137" s="24" t="str">
        <f aca="false">IF(C137="","",IF(P137&lt;&gt;"",P137,O137))</f>
        <v/>
      </c>
      <c r="R137" s="21"/>
      <c r="S137" s="21"/>
      <c r="T137" s="25"/>
      <c r="U137" s="23" t="str">
        <f aca="true">IF(T137="","",T137-TODAY())</f>
        <v/>
      </c>
      <c r="V137" s="21"/>
      <c r="W137" s="25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2"/>
      <c r="K138" s="22"/>
      <c r="L138" s="22"/>
      <c r="M138" s="22"/>
      <c r="N138" s="23" t="str">
        <f aca="false">IF(C138="","",SUM(J138:M138))</f>
        <v/>
      </c>
      <c r="O138" s="24" t="str">
        <f aca="false">IF(C138="","",IF(OR(D138="Lucro Real",E138="Indústria",N138&gt;500),"A",IF(OR(D138="Lucro Presumido",I138="S",N138&gt;=100),"B","C")))</f>
        <v/>
      </c>
      <c r="P138" s="21"/>
      <c r="Q138" s="24" t="str">
        <f aca="false">IF(C138="","",IF(P138&lt;&gt;"",P138,O138))</f>
        <v/>
      </c>
      <c r="R138" s="21"/>
      <c r="S138" s="21"/>
      <c r="T138" s="25"/>
      <c r="U138" s="23" t="str">
        <f aca="true">IF(T138="","",T138-TODAY())</f>
        <v/>
      </c>
      <c r="V138" s="21"/>
      <c r="W138" s="25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2"/>
      <c r="K139" s="22"/>
      <c r="L139" s="22"/>
      <c r="M139" s="22"/>
      <c r="N139" s="23" t="str">
        <f aca="false">IF(C139="","",SUM(J139:M139))</f>
        <v/>
      </c>
      <c r="O139" s="24" t="str">
        <f aca="false">IF(C139="","",IF(OR(D139="Lucro Real",E139="Indústria",N139&gt;500),"A",IF(OR(D139="Lucro Presumido",I139="S",N139&gt;=100),"B","C")))</f>
        <v/>
      </c>
      <c r="P139" s="21"/>
      <c r="Q139" s="24" t="str">
        <f aca="false">IF(C139="","",IF(P139&lt;&gt;"",P139,O139))</f>
        <v/>
      </c>
      <c r="R139" s="21"/>
      <c r="S139" s="21"/>
      <c r="T139" s="25"/>
      <c r="U139" s="23" t="str">
        <f aca="true">IF(T139="","",T139-TODAY())</f>
        <v/>
      </c>
      <c r="V139" s="21"/>
      <c r="W139" s="25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2"/>
      <c r="K140" s="22"/>
      <c r="L140" s="22"/>
      <c r="M140" s="22"/>
      <c r="N140" s="23" t="str">
        <f aca="false">IF(C140="","",SUM(J140:M140))</f>
        <v/>
      </c>
      <c r="O140" s="24" t="str">
        <f aca="false">IF(C140="","",IF(OR(D140="Lucro Real",E140="Indústria",N140&gt;500),"A",IF(OR(D140="Lucro Presumido",I140="S",N140&gt;=100),"B","C")))</f>
        <v/>
      </c>
      <c r="P140" s="21"/>
      <c r="Q140" s="24" t="str">
        <f aca="false">IF(C140="","",IF(P140&lt;&gt;"",P140,O140))</f>
        <v/>
      </c>
      <c r="R140" s="21"/>
      <c r="S140" s="21"/>
      <c r="T140" s="25"/>
      <c r="U140" s="23" t="str">
        <f aca="true">IF(T140="","",T140-TODAY())</f>
        <v/>
      </c>
      <c r="V140" s="21"/>
      <c r="W140" s="25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2"/>
      <c r="K141" s="22"/>
      <c r="L141" s="22"/>
      <c r="M141" s="22"/>
      <c r="N141" s="23" t="str">
        <f aca="false">IF(C141="","",SUM(J141:M141))</f>
        <v/>
      </c>
      <c r="O141" s="24" t="str">
        <f aca="false">IF(C141="","",IF(OR(D141="Lucro Real",E141="Indústria",N141&gt;500),"A",IF(OR(D141="Lucro Presumido",I141="S",N141&gt;=100),"B","C")))</f>
        <v/>
      </c>
      <c r="P141" s="21"/>
      <c r="Q141" s="24" t="str">
        <f aca="false">IF(C141="","",IF(P141&lt;&gt;"",P141,O141))</f>
        <v/>
      </c>
      <c r="R141" s="21"/>
      <c r="S141" s="21"/>
      <c r="T141" s="25"/>
      <c r="U141" s="23" t="str">
        <f aca="true">IF(T141="","",T141-TODAY())</f>
        <v/>
      </c>
      <c r="V141" s="21"/>
      <c r="W141" s="25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2"/>
      <c r="K142" s="22"/>
      <c r="L142" s="22"/>
      <c r="M142" s="22"/>
      <c r="N142" s="23" t="str">
        <f aca="false">IF(C142="","",SUM(J142:M142))</f>
        <v/>
      </c>
      <c r="O142" s="24" t="str">
        <f aca="false">IF(C142="","",IF(OR(D142="Lucro Real",E142="Indústria",N142&gt;500),"A",IF(OR(D142="Lucro Presumido",I142="S",N142&gt;=100),"B","C")))</f>
        <v/>
      </c>
      <c r="P142" s="21"/>
      <c r="Q142" s="24" t="str">
        <f aca="false">IF(C142="","",IF(P142&lt;&gt;"",P142,O142))</f>
        <v/>
      </c>
      <c r="R142" s="21"/>
      <c r="S142" s="21"/>
      <c r="T142" s="25"/>
      <c r="U142" s="23" t="str">
        <f aca="true">IF(T142="","",T142-TODAY())</f>
        <v/>
      </c>
      <c r="V142" s="21"/>
      <c r="W142" s="25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2"/>
      <c r="K143" s="22"/>
      <c r="L143" s="22"/>
      <c r="M143" s="22"/>
      <c r="N143" s="23" t="str">
        <f aca="false">IF(C143="","",SUM(J143:M143))</f>
        <v/>
      </c>
      <c r="O143" s="24" t="str">
        <f aca="false">IF(C143="","",IF(OR(D143="Lucro Real",E143="Indústria",N143&gt;500),"A",IF(OR(D143="Lucro Presumido",I143="S",N143&gt;=100),"B","C")))</f>
        <v/>
      </c>
      <c r="P143" s="21"/>
      <c r="Q143" s="24" t="str">
        <f aca="false">IF(C143="","",IF(P143&lt;&gt;"",P143,O143))</f>
        <v/>
      </c>
      <c r="R143" s="21"/>
      <c r="S143" s="21"/>
      <c r="T143" s="25"/>
      <c r="U143" s="23" t="str">
        <f aca="true">IF(T143="","",T143-TODAY())</f>
        <v/>
      </c>
      <c r="V143" s="21"/>
      <c r="W143" s="25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2"/>
      <c r="K144" s="22"/>
      <c r="L144" s="22"/>
      <c r="M144" s="22"/>
      <c r="N144" s="23" t="str">
        <f aca="false">IF(C144="","",SUM(J144:M144))</f>
        <v/>
      </c>
      <c r="O144" s="24" t="str">
        <f aca="false">IF(C144="","",IF(OR(D144="Lucro Real",E144="Indústria",N144&gt;500),"A",IF(OR(D144="Lucro Presumido",I144="S",N144&gt;=100),"B","C")))</f>
        <v/>
      </c>
      <c r="P144" s="21"/>
      <c r="Q144" s="24" t="str">
        <f aca="false">IF(C144="","",IF(P144&lt;&gt;"",P144,O144))</f>
        <v/>
      </c>
      <c r="R144" s="21"/>
      <c r="S144" s="21"/>
      <c r="T144" s="25"/>
      <c r="U144" s="23" t="str">
        <f aca="true">IF(T144="","",T144-TODAY())</f>
        <v/>
      </c>
      <c r="V144" s="21"/>
      <c r="W144" s="25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2"/>
      <c r="L145" s="22"/>
      <c r="M145" s="22"/>
      <c r="N145" s="23" t="str">
        <f aca="false">IF(C145="","",SUM(J145:M145))</f>
        <v/>
      </c>
      <c r="O145" s="24" t="str">
        <f aca="false">IF(C145="","",IF(OR(D145="Lucro Real",E145="Indústria",N145&gt;500),"A",IF(OR(D145="Lucro Presumido",I145="S",N145&gt;=100),"B","C")))</f>
        <v/>
      </c>
      <c r="P145" s="21"/>
      <c r="Q145" s="24" t="str">
        <f aca="false">IF(C145="","",IF(P145&lt;&gt;"",P145,O145))</f>
        <v/>
      </c>
      <c r="R145" s="21"/>
      <c r="S145" s="21"/>
      <c r="T145" s="25"/>
      <c r="U145" s="23" t="str">
        <f aca="true">IF(T145="","",T145-TODAY())</f>
        <v/>
      </c>
      <c r="V145" s="21"/>
      <c r="W145" s="25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2"/>
      <c r="K146" s="22"/>
      <c r="L146" s="22"/>
      <c r="M146" s="22"/>
      <c r="N146" s="23" t="str">
        <f aca="false">IF(C146="","",SUM(J146:M146))</f>
        <v/>
      </c>
      <c r="O146" s="24" t="str">
        <f aca="false">IF(C146="","",IF(OR(D146="Lucro Real",E146="Indústria",N146&gt;500),"A",IF(OR(D146="Lucro Presumido",I146="S",N146&gt;=100),"B","C")))</f>
        <v/>
      </c>
      <c r="P146" s="21"/>
      <c r="Q146" s="24" t="str">
        <f aca="false">IF(C146="","",IF(P146&lt;&gt;"",P146,O146))</f>
        <v/>
      </c>
      <c r="R146" s="21"/>
      <c r="S146" s="21"/>
      <c r="T146" s="25"/>
      <c r="U146" s="23" t="str">
        <f aca="true">IF(T146="","",T146-TODAY())</f>
        <v/>
      </c>
      <c r="V146" s="21"/>
      <c r="W146" s="25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2"/>
      <c r="K147" s="22"/>
      <c r="L147" s="22"/>
      <c r="M147" s="22"/>
      <c r="N147" s="23" t="str">
        <f aca="false">IF(C147="","",SUM(J147:M147))</f>
        <v/>
      </c>
      <c r="O147" s="24" t="str">
        <f aca="false">IF(C147="","",IF(OR(D147="Lucro Real",E147="Indústria",N147&gt;500),"A",IF(OR(D147="Lucro Presumido",I147="S",N147&gt;=100),"B","C")))</f>
        <v/>
      </c>
      <c r="P147" s="21"/>
      <c r="Q147" s="24" t="str">
        <f aca="false">IF(C147="","",IF(P147&lt;&gt;"",P147,O147))</f>
        <v/>
      </c>
      <c r="R147" s="21"/>
      <c r="S147" s="21"/>
      <c r="T147" s="25"/>
      <c r="U147" s="23" t="str">
        <f aca="true">IF(T147="","",T147-TODAY())</f>
        <v/>
      </c>
      <c r="V147" s="21"/>
      <c r="W147" s="25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2"/>
      <c r="K148" s="22"/>
      <c r="L148" s="22"/>
      <c r="M148" s="22"/>
      <c r="N148" s="23" t="str">
        <f aca="false">IF(C148="","",SUM(J148:M148))</f>
        <v/>
      </c>
      <c r="O148" s="24" t="str">
        <f aca="false">IF(C148="","",IF(OR(D148="Lucro Real",E148="Indústria",N148&gt;500),"A",IF(OR(D148="Lucro Presumido",I148="S",N148&gt;=100),"B","C")))</f>
        <v/>
      </c>
      <c r="P148" s="21"/>
      <c r="Q148" s="24" t="str">
        <f aca="false">IF(C148="","",IF(P148&lt;&gt;"",P148,O148))</f>
        <v/>
      </c>
      <c r="R148" s="21"/>
      <c r="S148" s="21"/>
      <c r="T148" s="25"/>
      <c r="U148" s="23" t="str">
        <f aca="true">IF(T148="","",T148-TODAY())</f>
        <v/>
      </c>
      <c r="V148" s="21"/>
      <c r="W148" s="25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2"/>
      <c r="K149" s="22"/>
      <c r="L149" s="22"/>
      <c r="M149" s="22"/>
      <c r="N149" s="23" t="str">
        <f aca="false">IF(C149="","",SUM(J149:M149))</f>
        <v/>
      </c>
      <c r="O149" s="24" t="str">
        <f aca="false">IF(C149="","",IF(OR(D149="Lucro Real",E149="Indústria",N149&gt;500),"A",IF(OR(D149="Lucro Presumido",I149="S",N149&gt;=100),"B","C")))</f>
        <v/>
      </c>
      <c r="P149" s="21"/>
      <c r="Q149" s="24" t="str">
        <f aca="false">IF(C149="","",IF(P149&lt;&gt;"",P149,O149))</f>
        <v/>
      </c>
      <c r="R149" s="21"/>
      <c r="S149" s="21"/>
      <c r="T149" s="25"/>
      <c r="U149" s="23" t="str">
        <f aca="true">IF(T149="","",T149-TODAY())</f>
        <v/>
      </c>
      <c r="V149" s="21"/>
      <c r="W149" s="25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2"/>
      <c r="K150" s="22"/>
      <c r="L150" s="22"/>
      <c r="M150" s="22"/>
      <c r="N150" s="23" t="str">
        <f aca="false">IF(C150="","",SUM(J150:M150))</f>
        <v/>
      </c>
      <c r="O150" s="24" t="str">
        <f aca="false">IF(C150="","",IF(OR(D150="Lucro Real",E150="Indústria",N150&gt;500),"A",IF(OR(D150="Lucro Presumido",I150="S",N150&gt;=100),"B","C")))</f>
        <v/>
      </c>
      <c r="P150" s="21"/>
      <c r="Q150" s="24" t="str">
        <f aca="false">IF(C150="","",IF(P150&lt;&gt;"",P150,O150))</f>
        <v/>
      </c>
      <c r="R150" s="21"/>
      <c r="S150" s="21"/>
      <c r="T150" s="25"/>
      <c r="U150" s="23" t="str">
        <f aca="true">IF(T150="","",T150-TODAY())</f>
        <v/>
      </c>
      <c r="V150" s="21"/>
      <c r="W150" s="25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2"/>
      <c r="K151" s="22"/>
      <c r="L151" s="22"/>
      <c r="M151" s="22"/>
      <c r="N151" s="23" t="str">
        <f aca="false">IF(C151="","",SUM(J151:M151))</f>
        <v/>
      </c>
      <c r="O151" s="24" t="str">
        <f aca="false">IF(C151="","",IF(OR(D151="Lucro Real",E151="Indústria",N151&gt;500),"A",IF(OR(D151="Lucro Presumido",I151="S",N151&gt;=100),"B","C")))</f>
        <v/>
      </c>
      <c r="P151" s="21"/>
      <c r="Q151" s="24" t="str">
        <f aca="false">IF(C151="","",IF(P151&lt;&gt;"",P151,O151))</f>
        <v/>
      </c>
      <c r="R151" s="21"/>
      <c r="S151" s="21"/>
      <c r="T151" s="25"/>
      <c r="U151" s="23" t="str">
        <f aca="true">IF(T151="","",T151-TODAY())</f>
        <v/>
      </c>
      <c r="V151" s="21"/>
      <c r="W151" s="25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2"/>
      <c r="K152" s="22"/>
      <c r="L152" s="22"/>
      <c r="M152" s="22"/>
      <c r="N152" s="23" t="str">
        <f aca="false">IF(C152="","",SUM(J152:M152))</f>
        <v/>
      </c>
      <c r="O152" s="24" t="str">
        <f aca="false">IF(C152="","",IF(OR(D152="Lucro Real",E152="Indústria",N152&gt;500),"A",IF(OR(D152="Lucro Presumido",I152="S",N152&gt;=100),"B","C")))</f>
        <v/>
      </c>
      <c r="P152" s="21"/>
      <c r="Q152" s="24" t="str">
        <f aca="false">IF(C152="","",IF(P152&lt;&gt;"",P152,O152))</f>
        <v/>
      </c>
      <c r="R152" s="21"/>
      <c r="S152" s="21"/>
      <c r="T152" s="25"/>
      <c r="U152" s="23" t="str">
        <f aca="true">IF(T152="","",T152-TODAY())</f>
        <v/>
      </c>
      <c r="V152" s="21"/>
      <c r="W152" s="25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2"/>
      <c r="K153" s="22"/>
      <c r="L153" s="22"/>
      <c r="M153" s="22"/>
      <c r="N153" s="23" t="str">
        <f aca="false">IF(C153="","",SUM(J153:M153))</f>
        <v/>
      </c>
      <c r="O153" s="24" t="str">
        <f aca="false">IF(C153="","",IF(OR(D153="Lucro Real",E153="Indústria",N153&gt;500),"A",IF(OR(D153="Lucro Presumido",I153="S",N153&gt;=100),"B","C")))</f>
        <v/>
      </c>
      <c r="P153" s="21"/>
      <c r="Q153" s="24" t="str">
        <f aca="false">IF(C153="","",IF(P153&lt;&gt;"",P153,O153))</f>
        <v/>
      </c>
      <c r="R153" s="21"/>
      <c r="S153" s="21"/>
      <c r="T153" s="25"/>
      <c r="U153" s="23" t="str">
        <f aca="true">IF(T153="","",T153-TODAY())</f>
        <v/>
      </c>
      <c r="V153" s="21"/>
      <c r="W153" s="25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2"/>
      <c r="K154" s="22"/>
      <c r="L154" s="22"/>
      <c r="M154" s="22"/>
      <c r="N154" s="23" t="str">
        <f aca="false">IF(C154="","",SUM(J154:M154))</f>
        <v/>
      </c>
      <c r="O154" s="24" t="str">
        <f aca="false">IF(C154="","",IF(OR(D154="Lucro Real",E154="Indústria",N154&gt;500),"A",IF(OR(D154="Lucro Presumido",I154="S",N154&gt;=100),"B","C")))</f>
        <v/>
      </c>
      <c r="P154" s="21"/>
      <c r="Q154" s="24" t="str">
        <f aca="false">IF(C154="","",IF(P154&lt;&gt;"",P154,O154))</f>
        <v/>
      </c>
      <c r="R154" s="21"/>
      <c r="S154" s="21"/>
      <c r="T154" s="25"/>
      <c r="U154" s="23" t="str">
        <f aca="true">IF(T154="","",T154-TODAY())</f>
        <v/>
      </c>
      <c r="V154" s="21"/>
      <c r="W154" s="25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2"/>
      <c r="K155" s="22"/>
      <c r="L155" s="22"/>
      <c r="M155" s="22"/>
      <c r="N155" s="23" t="str">
        <f aca="false">IF(C155="","",SUM(J155:M155))</f>
        <v/>
      </c>
      <c r="O155" s="24" t="str">
        <f aca="false">IF(C155="","",IF(OR(D155="Lucro Real",E155="Indústria",N155&gt;500),"A",IF(OR(D155="Lucro Presumido",I155="S",N155&gt;=100),"B","C")))</f>
        <v/>
      </c>
      <c r="P155" s="21"/>
      <c r="Q155" s="24" t="str">
        <f aca="false">IF(C155="","",IF(P155&lt;&gt;"",P155,O155))</f>
        <v/>
      </c>
      <c r="R155" s="21"/>
      <c r="S155" s="21"/>
      <c r="T155" s="25"/>
      <c r="U155" s="23" t="str">
        <f aca="true">IF(T155="","",T155-TODAY())</f>
        <v/>
      </c>
      <c r="V155" s="21"/>
      <c r="W155" s="25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2"/>
      <c r="K156" s="22"/>
      <c r="L156" s="22"/>
      <c r="M156" s="22"/>
      <c r="N156" s="23" t="str">
        <f aca="false">IF(C156="","",SUM(J156:M156))</f>
        <v/>
      </c>
      <c r="O156" s="24" t="str">
        <f aca="false">IF(C156="","",IF(OR(D156="Lucro Real",E156="Indústria",N156&gt;500),"A",IF(OR(D156="Lucro Presumido",I156="S",N156&gt;=100),"B","C")))</f>
        <v/>
      </c>
      <c r="P156" s="21"/>
      <c r="Q156" s="24" t="str">
        <f aca="false">IF(C156="","",IF(P156&lt;&gt;"",P156,O156))</f>
        <v/>
      </c>
      <c r="R156" s="21"/>
      <c r="S156" s="21"/>
      <c r="T156" s="25"/>
      <c r="U156" s="23" t="str">
        <f aca="true">IF(T156="","",T156-TODAY())</f>
        <v/>
      </c>
      <c r="V156" s="21"/>
      <c r="W156" s="25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2"/>
      <c r="K157" s="22"/>
      <c r="L157" s="22"/>
      <c r="M157" s="22"/>
      <c r="N157" s="23" t="str">
        <f aca="false">IF(C157="","",SUM(J157:M157))</f>
        <v/>
      </c>
      <c r="O157" s="24" t="str">
        <f aca="false">IF(C157="","",IF(OR(D157="Lucro Real",E157="Indústria",N157&gt;500),"A",IF(OR(D157="Lucro Presumido",I157="S",N157&gt;=100),"B","C")))</f>
        <v/>
      </c>
      <c r="P157" s="21"/>
      <c r="Q157" s="24" t="str">
        <f aca="false">IF(C157="","",IF(P157&lt;&gt;"",P157,O157))</f>
        <v/>
      </c>
      <c r="R157" s="21"/>
      <c r="S157" s="21"/>
      <c r="T157" s="25"/>
      <c r="U157" s="23" t="str">
        <f aca="true">IF(T157="","",T157-TODAY())</f>
        <v/>
      </c>
      <c r="V157" s="21"/>
      <c r="W157" s="25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2"/>
      <c r="K158" s="22"/>
      <c r="L158" s="22"/>
      <c r="M158" s="22"/>
      <c r="N158" s="23" t="str">
        <f aca="false">IF(C158="","",SUM(J158:M158))</f>
        <v/>
      </c>
      <c r="O158" s="24" t="str">
        <f aca="false">IF(C158="","",IF(OR(D158="Lucro Real",E158="Indústria",N158&gt;500),"A",IF(OR(D158="Lucro Presumido",I158="S",N158&gt;=100),"B","C")))</f>
        <v/>
      </c>
      <c r="P158" s="21"/>
      <c r="Q158" s="24" t="str">
        <f aca="false">IF(C158="","",IF(P158&lt;&gt;"",P158,O158))</f>
        <v/>
      </c>
      <c r="R158" s="21"/>
      <c r="S158" s="21"/>
      <c r="T158" s="25"/>
      <c r="U158" s="23" t="str">
        <f aca="true">IF(T158="","",T158-TODAY())</f>
        <v/>
      </c>
      <c r="V158" s="21"/>
      <c r="W158" s="25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2"/>
      <c r="K159" s="22"/>
      <c r="L159" s="22"/>
      <c r="M159" s="22"/>
      <c r="N159" s="23" t="str">
        <f aca="false">IF(C159="","",SUM(J159:M159))</f>
        <v/>
      </c>
      <c r="O159" s="24" t="str">
        <f aca="false">IF(C159="","",IF(OR(D159="Lucro Real",E159="Indústria",N159&gt;500),"A",IF(OR(D159="Lucro Presumido",I159="S",N159&gt;=100),"B","C")))</f>
        <v/>
      </c>
      <c r="P159" s="21"/>
      <c r="Q159" s="24" t="str">
        <f aca="false">IF(C159="","",IF(P159&lt;&gt;"",P159,O159))</f>
        <v/>
      </c>
      <c r="R159" s="21"/>
      <c r="S159" s="21"/>
      <c r="T159" s="25"/>
      <c r="U159" s="23" t="str">
        <f aca="true">IF(T159="","",T159-TODAY())</f>
        <v/>
      </c>
      <c r="V159" s="21"/>
      <c r="W159" s="25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2"/>
      <c r="K160" s="22"/>
      <c r="L160" s="22"/>
      <c r="M160" s="22"/>
      <c r="N160" s="23" t="str">
        <f aca="false">IF(C160="","",SUM(J160:M160))</f>
        <v/>
      </c>
      <c r="O160" s="24" t="str">
        <f aca="false">IF(C160="","",IF(OR(D160="Lucro Real",E160="Indústria",N160&gt;500),"A",IF(OR(D160="Lucro Presumido",I160="S",N160&gt;=100),"B","C")))</f>
        <v/>
      </c>
      <c r="P160" s="21"/>
      <c r="Q160" s="24" t="str">
        <f aca="false">IF(C160="","",IF(P160&lt;&gt;"",P160,O160))</f>
        <v/>
      </c>
      <c r="R160" s="21"/>
      <c r="S160" s="21"/>
      <c r="T160" s="25"/>
      <c r="U160" s="23" t="str">
        <f aca="true">IF(T160="","",T160-TODAY())</f>
        <v/>
      </c>
      <c r="V160" s="21"/>
      <c r="W160" s="25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2"/>
      <c r="K161" s="22"/>
      <c r="L161" s="22"/>
      <c r="M161" s="22"/>
      <c r="N161" s="23" t="str">
        <f aca="false">IF(C161="","",SUM(J161:M161))</f>
        <v/>
      </c>
      <c r="O161" s="24" t="str">
        <f aca="false">IF(C161="","",IF(OR(D161="Lucro Real",E161="Indústria",N161&gt;500),"A",IF(OR(D161="Lucro Presumido",I161="S",N161&gt;=100),"B","C")))</f>
        <v/>
      </c>
      <c r="P161" s="21"/>
      <c r="Q161" s="24" t="str">
        <f aca="false">IF(C161="","",IF(P161&lt;&gt;"",P161,O161))</f>
        <v/>
      </c>
      <c r="R161" s="21"/>
      <c r="S161" s="21"/>
      <c r="T161" s="25"/>
      <c r="U161" s="23" t="str">
        <f aca="true">IF(T161="","",T161-TODAY())</f>
        <v/>
      </c>
      <c r="V161" s="21"/>
      <c r="W161" s="25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2"/>
      <c r="K162" s="22"/>
      <c r="L162" s="22"/>
      <c r="M162" s="22"/>
      <c r="N162" s="23" t="str">
        <f aca="false">IF(C162="","",SUM(J162:M162))</f>
        <v/>
      </c>
      <c r="O162" s="24" t="str">
        <f aca="false">IF(C162="","",IF(OR(D162="Lucro Real",E162="Indústria",N162&gt;500),"A",IF(OR(D162="Lucro Presumido",I162="S",N162&gt;=100),"B","C")))</f>
        <v/>
      </c>
      <c r="P162" s="21"/>
      <c r="Q162" s="24" t="str">
        <f aca="false">IF(C162="","",IF(P162&lt;&gt;"",P162,O162))</f>
        <v/>
      </c>
      <c r="R162" s="21"/>
      <c r="S162" s="21"/>
      <c r="T162" s="25"/>
      <c r="U162" s="23" t="str">
        <f aca="true">IF(T162="","",T162-TODAY())</f>
        <v/>
      </c>
      <c r="V162" s="21"/>
      <c r="W162" s="25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2"/>
      <c r="K163" s="22"/>
      <c r="L163" s="22"/>
      <c r="M163" s="22"/>
      <c r="N163" s="23" t="str">
        <f aca="false">IF(C163="","",SUM(J163:M163))</f>
        <v/>
      </c>
      <c r="O163" s="24" t="str">
        <f aca="false">IF(C163="","",IF(OR(D163="Lucro Real",E163="Indústria",N163&gt;500),"A",IF(OR(D163="Lucro Presumido",I163="S",N163&gt;=100),"B","C")))</f>
        <v/>
      </c>
      <c r="P163" s="21"/>
      <c r="Q163" s="24" t="str">
        <f aca="false">IF(C163="","",IF(P163&lt;&gt;"",P163,O163))</f>
        <v/>
      </c>
      <c r="R163" s="21"/>
      <c r="S163" s="21"/>
      <c r="T163" s="25"/>
      <c r="U163" s="23" t="str">
        <f aca="true">IF(T163="","",T163-TODAY())</f>
        <v/>
      </c>
      <c r="V163" s="21"/>
      <c r="W163" s="25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2"/>
      <c r="K164" s="22"/>
      <c r="L164" s="22"/>
      <c r="M164" s="22"/>
      <c r="N164" s="23" t="str">
        <f aca="false">IF(C164="","",SUM(J164:M164))</f>
        <v/>
      </c>
      <c r="O164" s="24" t="str">
        <f aca="false">IF(C164="","",IF(OR(D164="Lucro Real",E164="Indústria",N164&gt;500),"A",IF(OR(D164="Lucro Presumido",I164="S",N164&gt;=100),"B","C")))</f>
        <v/>
      </c>
      <c r="P164" s="21"/>
      <c r="Q164" s="24" t="str">
        <f aca="false">IF(C164="","",IF(P164&lt;&gt;"",P164,O164))</f>
        <v/>
      </c>
      <c r="R164" s="21"/>
      <c r="S164" s="21"/>
      <c r="T164" s="25"/>
      <c r="U164" s="23" t="str">
        <f aca="true">IF(T164="","",T164-TODAY())</f>
        <v/>
      </c>
      <c r="V164" s="21"/>
      <c r="W164" s="25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2"/>
      <c r="K165" s="22"/>
      <c r="L165" s="22"/>
      <c r="M165" s="22"/>
      <c r="N165" s="23" t="str">
        <f aca="false">IF(C165="","",SUM(J165:M165))</f>
        <v/>
      </c>
      <c r="O165" s="24" t="str">
        <f aca="false">IF(C165="","",IF(OR(D165="Lucro Real",E165="Indústria",N165&gt;500),"A",IF(OR(D165="Lucro Presumido",I165="S",N165&gt;=100),"B","C")))</f>
        <v/>
      </c>
      <c r="P165" s="21"/>
      <c r="Q165" s="24" t="str">
        <f aca="false">IF(C165="","",IF(P165&lt;&gt;"",P165,O165))</f>
        <v/>
      </c>
      <c r="R165" s="21"/>
      <c r="S165" s="21"/>
      <c r="T165" s="25"/>
      <c r="U165" s="23" t="str">
        <f aca="true">IF(T165="","",T165-TODAY())</f>
        <v/>
      </c>
      <c r="V165" s="21"/>
      <c r="W165" s="25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2"/>
      <c r="K166" s="22"/>
      <c r="L166" s="22"/>
      <c r="M166" s="22"/>
      <c r="N166" s="23" t="str">
        <f aca="false">IF(C166="","",SUM(J166:M166))</f>
        <v/>
      </c>
      <c r="O166" s="24" t="str">
        <f aca="false">IF(C166="","",IF(OR(D166="Lucro Real",E166="Indústria",N166&gt;500),"A",IF(OR(D166="Lucro Presumido",I166="S",N166&gt;=100),"B","C")))</f>
        <v/>
      </c>
      <c r="P166" s="21"/>
      <c r="Q166" s="24" t="str">
        <f aca="false">IF(C166="","",IF(P166&lt;&gt;"",P166,O166))</f>
        <v/>
      </c>
      <c r="R166" s="21"/>
      <c r="S166" s="21"/>
      <c r="T166" s="25"/>
      <c r="U166" s="23" t="str">
        <f aca="true">IF(T166="","",T166-TODAY())</f>
        <v/>
      </c>
      <c r="V166" s="21"/>
      <c r="W166" s="25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2"/>
      <c r="K167" s="22"/>
      <c r="L167" s="22"/>
      <c r="M167" s="22"/>
      <c r="N167" s="23" t="str">
        <f aca="false">IF(C167="","",SUM(J167:M167))</f>
        <v/>
      </c>
      <c r="O167" s="24" t="str">
        <f aca="false">IF(C167="","",IF(OR(D167="Lucro Real",E167="Indústria",N167&gt;500),"A",IF(OR(D167="Lucro Presumido",I167="S",N167&gt;=100),"B","C")))</f>
        <v/>
      </c>
      <c r="P167" s="21"/>
      <c r="Q167" s="24" t="str">
        <f aca="false">IF(C167="","",IF(P167&lt;&gt;"",P167,O167))</f>
        <v/>
      </c>
      <c r="R167" s="21"/>
      <c r="S167" s="21"/>
      <c r="T167" s="25"/>
      <c r="U167" s="23" t="str">
        <f aca="true">IF(T167="","",T167-TODAY())</f>
        <v/>
      </c>
      <c r="V167" s="21"/>
      <c r="W167" s="25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2"/>
      <c r="K168" s="22"/>
      <c r="L168" s="22"/>
      <c r="M168" s="22"/>
      <c r="N168" s="23" t="str">
        <f aca="false">IF(C168="","",SUM(J168:M168))</f>
        <v/>
      </c>
      <c r="O168" s="24" t="str">
        <f aca="false">IF(C168="","",IF(OR(D168="Lucro Real",E168="Indústria",N168&gt;500),"A",IF(OR(D168="Lucro Presumido",I168="S",N168&gt;=100),"B","C")))</f>
        <v/>
      </c>
      <c r="P168" s="21"/>
      <c r="Q168" s="24" t="str">
        <f aca="false">IF(C168="","",IF(P168&lt;&gt;"",P168,O168))</f>
        <v/>
      </c>
      <c r="R168" s="21"/>
      <c r="S168" s="21"/>
      <c r="T168" s="25"/>
      <c r="U168" s="23" t="str">
        <f aca="true">IF(T168="","",T168-TODAY())</f>
        <v/>
      </c>
      <c r="V168" s="21"/>
      <c r="W168" s="25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2"/>
      <c r="K169" s="22"/>
      <c r="L169" s="22"/>
      <c r="M169" s="22"/>
      <c r="N169" s="23" t="str">
        <f aca="false">IF(C169="","",SUM(J169:M169))</f>
        <v/>
      </c>
      <c r="O169" s="24" t="str">
        <f aca="false">IF(C169="","",IF(OR(D169="Lucro Real",E169="Indústria",N169&gt;500),"A",IF(OR(D169="Lucro Presumido",I169="S",N169&gt;=100),"B","C")))</f>
        <v/>
      </c>
      <c r="P169" s="21"/>
      <c r="Q169" s="24" t="str">
        <f aca="false">IF(C169="","",IF(P169&lt;&gt;"",P169,O169))</f>
        <v/>
      </c>
      <c r="R169" s="21"/>
      <c r="S169" s="21"/>
      <c r="T169" s="25"/>
      <c r="U169" s="23" t="str">
        <f aca="true">IF(T169="","",T169-TODAY())</f>
        <v/>
      </c>
      <c r="V169" s="21"/>
      <c r="W169" s="25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2"/>
      <c r="K170" s="22"/>
      <c r="L170" s="22"/>
      <c r="M170" s="22"/>
      <c r="N170" s="23" t="str">
        <f aca="false">IF(C170="","",SUM(J170:M170))</f>
        <v/>
      </c>
      <c r="O170" s="24" t="str">
        <f aca="false">IF(C170="","",IF(OR(D170="Lucro Real",E170="Indústria",N170&gt;500),"A",IF(OR(D170="Lucro Presumido",I170="S",N170&gt;=100),"B","C")))</f>
        <v/>
      </c>
      <c r="P170" s="21"/>
      <c r="Q170" s="24" t="str">
        <f aca="false">IF(C170="","",IF(P170&lt;&gt;"",P170,O170))</f>
        <v/>
      </c>
      <c r="R170" s="21"/>
      <c r="S170" s="21"/>
      <c r="T170" s="25"/>
      <c r="U170" s="23" t="str">
        <f aca="true">IF(T170="","",T170-TODAY())</f>
        <v/>
      </c>
      <c r="V170" s="21"/>
      <c r="W170" s="25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2"/>
      <c r="K171" s="22"/>
      <c r="L171" s="22"/>
      <c r="M171" s="22"/>
      <c r="N171" s="23" t="str">
        <f aca="false">IF(C171="","",SUM(J171:M171))</f>
        <v/>
      </c>
      <c r="O171" s="24" t="str">
        <f aca="false">IF(C171="","",IF(OR(D171="Lucro Real",E171="Indústria",N171&gt;500),"A",IF(OR(D171="Lucro Presumido",I171="S",N171&gt;=100),"B","C")))</f>
        <v/>
      </c>
      <c r="P171" s="21"/>
      <c r="Q171" s="24" t="str">
        <f aca="false">IF(C171="","",IF(P171&lt;&gt;"",P171,O171))</f>
        <v/>
      </c>
      <c r="R171" s="21"/>
      <c r="S171" s="21"/>
      <c r="T171" s="25"/>
      <c r="U171" s="23" t="str">
        <f aca="true">IF(T171="","",T171-TODAY())</f>
        <v/>
      </c>
      <c r="V171" s="21"/>
      <c r="W171" s="25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2"/>
      <c r="K172" s="22"/>
      <c r="L172" s="22"/>
      <c r="M172" s="22"/>
      <c r="N172" s="23" t="str">
        <f aca="false">IF(C172="","",SUM(J172:M172))</f>
        <v/>
      </c>
      <c r="O172" s="24" t="str">
        <f aca="false">IF(C172="","",IF(OR(D172="Lucro Real",E172="Indústria",N172&gt;500),"A",IF(OR(D172="Lucro Presumido",I172="S",N172&gt;=100),"B","C")))</f>
        <v/>
      </c>
      <c r="P172" s="21"/>
      <c r="Q172" s="24" t="str">
        <f aca="false">IF(C172="","",IF(P172&lt;&gt;"",P172,O172))</f>
        <v/>
      </c>
      <c r="R172" s="21"/>
      <c r="S172" s="21"/>
      <c r="T172" s="25"/>
      <c r="U172" s="23" t="str">
        <f aca="true">IF(T172="","",T172-TODAY())</f>
        <v/>
      </c>
      <c r="V172" s="21"/>
      <c r="W172" s="25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2"/>
      <c r="K173" s="22"/>
      <c r="L173" s="22"/>
      <c r="M173" s="22"/>
      <c r="N173" s="23" t="str">
        <f aca="false">IF(C173="","",SUM(J173:M173))</f>
        <v/>
      </c>
      <c r="O173" s="24" t="str">
        <f aca="false">IF(C173="","",IF(OR(D173="Lucro Real",E173="Indústria",N173&gt;500),"A",IF(OR(D173="Lucro Presumido",I173="S",N173&gt;=100),"B","C")))</f>
        <v/>
      </c>
      <c r="P173" s="21"/>
      <c r="Q173" s="24" t="str">
        <f aca="false">IF(C173="","",IF(P173&lt;&gt;"",P173,O173))</f>
        <v/>
      </c>
      <c r="R173" s="21"/>
      <c r="S173" s="21"/>
      <c r="T173" s="25"/>
      <c r="U173" s="23" t="str">
        <f aca="true">IF(T173="","",T173-TODAY())</f>
        <v/>
      </c>
      <c r="V173" s="21"/>
      <c r="W173" s="25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2"/>
      <c r="K174" s="22"/>
      <c r="L174" s="22"/>
      <c r="M174" s="22"/>
      <c r="N174" s="23" t="str">
        <f aca="false">IF(C174="","",SUM(J174:M174))</f>
        <v/>
      </c>
      <c r="O174" s="24" t="str">
        <f aca="false">IF(C174="","",IF(OR(D174="Lucro Real",E174="Indústria",N174&gt;500),"A",IF(OR(D174="Lucro Presumido",I174="S",N174&gt;=100),"B","C")))</f>
        <v/>
      </c>
      <c r="P174" s="21"/>
      <c r="Q174" s="24" t="str">
        <f aca="false">IF(C174="","",IF(P174&lt;&gt;"",P174,O174))</f>
        <v/>
      </c>
      <c r="R174" s="21"/>
      <c r="S174" s="21"/>
      <c r="T174" s="25"/>
      <c r="U174" s="23" t="str">
        <f aca="true">IF(T174="","",T174-TODAY())</f>
        <v/>
      </c>
      <c r="V174" s="21"/>
      <c r="W174" s="25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2"/>
      <c r="K175" s="22"/>
      <c r="L175" s="22"/>
      <c r="M175" s="22"/>
      <c r="N175" s="23" t="str">
        <f aca="false">IF(C175="","",SUM(J175:M175))</f>
        <v/>
      </c>
      <c r="O175" s="24" t="str">
        <f aca="false">IF(C175="","",IF(OR(D175="Lucro Real",E175="Indústria",N175&gt;500),"A",IF(OR(D175="Lucro Presumido",I175="S",N175&gt;=100),"B","C")))</f>
        <v/>
      </c>
      <c r="P175" s="21"/>
      <c r="Q175" s="24" t="str">
        <f aca="false">IF(C175="","",IF(P175&lt;&gt;"",P175,O175))</f>
        <v/>
      </c>
      <c r="R175" s="21"/>
      <c r="S175" s="21"/>
      <c r="T175" s="25"/>
      <c r="U175" s="23" t="str">
        <f aca="true">IF(T175="","",T175-TODAY())</f>
        <v/>
      </c>
      <c r="V175" s="21"/>
      <c r="W175" s="25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2"/>
      <c r="K176" s="22"/>
      <c r="L176" s="22"/>
      <c r="M176" s="22"/>
      <c r="N176" s="23" t="str">
        <f aca="false">IF(C176="","",SUM(J176:M176))</f>
        <v/>
      </c>
      <c r="O176" s="24" t="str">
        <f aca="false">IF(C176="","",IF(OR(D176="Lucro Real",E176="Indústria",N176&gt;500),"A",IF(OR(D176="Lucro Presumido",I176="S",N176&gt;=100),"B","C")))</f>
        <v/>
      </c>
      <c r="P176" s="21"/>
      <c r="Q176" s="24" t="str">
        <f aca="false">IF(C176="","",IF(P176&lt;&gt;"",P176,O176))</f>
        <v/>
      </c>
      <c r="R176" s="21"/>
      <c r="S176" s="21"/>
      <c r="T176" s="25"/>
      <c r="U176" s="23" t="str">
        <f aca="true">IF(T176="","",T176-TODAY())</f>
        <v/>
      </c>
      <c r="V176" s="21"/>
      <c r="W176" s="25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2"/>
      <c r="K177" s="22"/>
      <c r="L177" s="22"/>
      <c r="M177" s="22"/>
      <c r="N177" s="23" t="str">
        <f aca="false">IF(C177="","",SUM(J177:M177))</f>
        <v/>
      </c>
      <c r="O177" s="24" t="str">
        <f aca="false">IF(C177="","",IF(OR(D177="Lucro Real",E177="Indústria",N177&gt;500),"A",IF(OR(D177="Lucro Presumido",I177="S",N177&gt;=100),"B","C")))</f>
        <v/>
      </c>
      <c r="P177" s="21"/>
      <c r="Q177" s="24" t="str">
        <f aca="false">IF(C177="","",IF(P177&lt;&gt;"",P177,O177))</f>
        <v/>
      </c>
      <c r="R177" s="21"/>
      <c r="S177" s="21"/>
      <c r="T177" s="25"/>
      <c r="U177" s="23" t="str">
        <f aca="true">IF(T177="","",T177-TODAY())</f>
        <v/>
      </c>
      <c r="V177" s="21"/>
      <c r="W177" s="25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2"/>
      <c r="K178" s="22"/>
      <c r="L178" s="22"/>
      <c r="M178" s="22"/>
      <c r="N178" s="23" t="str">
        <f aca="false">IF(C178="","",SUM(J178:M178))</f>
        <v/>
      </c>
      <c r="O178" s="24" t="str">
        <f aca="false">IF(C178="","",IF(OR(D178="Lucro Real",E178="Indústria",N178&gt;500),"A",IF(OR(D178="Lucro Presumido",I178="S",N178&gt;=100),"B","C")))</f>
        <v/>
      </c>
      <c r="P178" s="21"/>
      <c r="Q178" s="24" t="str">
        <f aca="false">IF(C178="","",IF(P178&lt;&gt;"",P178,O178))</f>
        <v/>
      </c>
      <c r="R178" s="21"/>
      <c r="S178" s="21"/>
      <c r="T178" s="25"/>
      <c r="U178" s="23" t="str">
        <f aca="true">IF(T178="","",T178-TODAY())</f>
        <v/>
      </c>
      <c r="V178" s="21"/>
      <c r="W178" s="25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2"/>
      <c r="K179" s="22"/>
      <c r="L179" s="22"/>
      <c r="M179" s="22"/>
      <c r="N179" s="23" t="str">
        <f aca="false">IF(C179="","",SUM(J179:M179))</f>
        <v/>
      </c>
      <c r="O179" s="24" t="str">
        <f aca="false">IF(C179="","",IF(OR(D179="Lucro Real",E179="Indústria",N179&gt;500),"A",IF(OR(D179="Lucro Presumido",I179="S",N179&gt;=100),"B","C")))</f>
        <v/>
      </c>
      <c r="P179" s="21"/>
      <c r="Q179" s="24" t="str">
        <f aca="false">IF(C179="","",IF(P179&lt;&gt;"",P179,O179))</f>
        <v/>
      </c>
      <c r="R179" s="21"/>
      <c r="S179" s="21"/>
      <c r="T179" s="25"/>
      <c r="U179" s="23" t="str">
        <f aca="true">IF(T179="","",T179-TODAY())</f>
        <v/>
      </c>
      <c r="V179" s="21"/>
      <c r="W179" s="25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2"/>
      <c r="K180" s="22"/>
      <c r="L180" s="22"/>
      <c r="M180" s="22"/>
      <c r="N180" s="23" t="str">
        <f aca="false">IF(C180="","",SUM(J180:M180))</f>
        <v/>
      </c>
      <c r="O180" s="24" t="str">
        <f aca="false">IF(C180="","",IF(OR(D180="Lucro Real",E180="Indústria",N180&gt;500),"A",IF(OR(D180="Lucro Presumido",I180="S",N180&gt;=100),"B","C")))</f>
        <v/>
      </c>
      <c r="P180" s="21"/>
      <c r="Q180" s="24" t="str">
        <f aca="false">IF(C180="","",IF(P180&lt;&gt;"",P180,O180))</f>
        <v/>
      </c>
      <c r="R180" s="21"/>
      <c r="S180" s="21"/>
      <c r="T180" s="25"/>
      <c r="U180" s="23" t="str">
        <f aca="true">IF(T180="","",T180-TODAY())</f>
        <v/>
      </c>
      <c r="V180" s="21"/>
      <c r="W180" s="25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2"/>
      <c r="K181" s="22"/>
      <c r="L181" s="22"/>
      <c r="M181" s="22"/>
      <c r="N181" s="23" t="str">
        <f aca="false">IF(C181="","",SUM(J181:M181))</f>
        <v/>
      </c>
      <c r="O181" s="24" t="str">
        <f aca="false">IF(C181="","",IF(OR(D181="Lucro Real",E181="Indústria",N181&gt;500),"A",IF(OR(D181="Lucro Presumido",I181="S",N181&gt;=100),"B","C")))</f>
        <v/>
      </c>
      <c r="P181" s="21"/>
      <c r="Q181" s="24" t="str">
        <f aca="false">IF(C181="","",IF(P181&lt;&gt;"",P181,O181))</f>
        <v/>
      </c>
      <c r="R181" s="21"/>
      <c r="S181" s="21"/>
      <c r="T181" s="25"/>
      <c r="U181" s="23" t="str">
        <f aca="true">IF(T181="","",T181-TODAY())</f>
        <v/>
      </c>
      <c r="V181" s="21"/>
      <c r="W181" s="25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2"/>
      <c r="K182" s="22"/>
      <c r="L182" s="22"/>
      <c r="M182" s="22"/>
      <c r="N182" s="23" t="str">
        <f aca="false">IF(C182="","",SUM(J182:M182))</f>
        <v/>
      </c>
      <c r="O182" s="24" t="str">
        <f aca="false">IF(C182="","",IF(OR(D182="Lucro Real",E182="Indústria",N182&gt;500),"A",IF(OR(D182="Lucro Presumido",I182="S",N182&gt;=100),"B","C")))</f>
        <v/>
      </c>
      <c r="P182" s="21"/>
      <c r="Q182" s="24" t="str">
        <f aca="false">IF(C182="","",IF(P182&lt;&gt;"",P182,O182))</f>
        <v/>
      </c>
      <c r="R182" s="21"/>
      <c r="S182" s="21"/>
      <c r="T182" s="25"/>
      <c r="U182" s="23" t="str">
        <f aca="true">IF(T182="","",T182-TODAY())</f>
        <v/>
      </c>
      <c r="V182" s="21"/>
      <c r="W182" s="25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2"/>
      <c r="K183" s="22"/>
      <c r="L183" s="22"/>
      <c r="M183" s="22"/>
      <c r="N183" s="23" t="str">
        <f aca="false">IF(C183="","",SUM(J183:M183))</f>
        <v/>
      </c>
      <c r="O183" s="24" t="str">
        <f aca="false">IF(C183="","",IF(OR(D183="Lucro Real",E183="Indústria",N183&gt;500),"A",IF(OR(D183="Lucro Presumido",I183="S",N183&gt;=100),"B","C")))</f>
        <v/>
      </c>
      <c r="P183" s="21"/>
      <c r="Q183" s="24" t="str">
        <f aca="false">IF(C183="","",IF(P183&lt;&gt;"",P183,O183))</f>
        <v/>
      </c>
      <c r="R183" s="21"/>
      <c r="S183" s="21"/>
      <c r="T183" s="25"/>
      <c r="U183" s="23" t="str">
        <f aca="true">IF(T183="","",T183-TODAY())</f>
        <v/>
      </c>
      <c r="V183" s="21"/>
      <c r="W183" s="25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2"/>
      <c r="K184" s="22"/>
      <c r="L184" s="22"/>
      <c r="M184" s="22"/>
      <c r="N184" s="23" t="str">
        <f aca="false">IF(C184="","",SUM(J184:M184))</f>
        <v/>
      </c>
      <c r="O184" s="24" t="str">
        <f aca="false">IF(C184="","",IF(OR(D184="Lucro Real",E184="Indústria",N184&gt;500),"A",IF(OR(D184="Lucro Presumido",I184="S",N184&gt;=100),"B","C")))</f>
        <v/>
      </c>
      <c r="P184" s="21"/>
      <c r="Q184" s="24" t="str">
        <f aca="false">IF(C184="","",IF(P184&lt;&gt;"",P184,O184))</f>
        <v/>
      </c>
      <c r="R184" s="21"/>
      <c r="S184" s="21"/>
      <c r="T184" s="25"/>
      <c r="U184" s="23" t="str">
        <f aca="true">IF(T184="","",T184-TODAY())</f>
        <v/>
      </c>
      <c r="V184" s="21"/>
      <c r="W184" s="25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2"/>
      <c r="K185" s="22"/>
      <c r="L185" s="22"/>
      <c r="M185" s="22"/>
      <c r="N185" s="23" t="str">
        <f aca="false">IF(C185="","",SUM(J185:M185))</f>
        <v/>
      </c>
      <c r="O185" s="24" t="str">
        <f aca="false">IF(C185="","",IF(OR(D185="Lucro Real",E185="Indústria",N185&gt;500),"A",IF(OR(D185="Lucro Presumido",I185="S",N185&gt;=100),"B","C")))</f>
        <v/>
      </c>
      <c r="P185" s="21"/>
      <c r="Q185" s="24" t="str">
        <f aca="false">IF(C185="","",IF(P185&lt;&gt;"",P185,O185))</f>
        <v/>
      </c>
      <c r="R185" s="21"/>
      <c r="S185" s="21"/>
      <c r="T185" s="25"/>
      <c r="U185" s="23" t="str">
        <f aca="true">IF(T185="","",T185-TODAY())</f>
        <v/>
      </c>
      <c r="V185" s="21"/>
      <c r="W185" s="25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2"/>
      <c r="K186" s="22"/>
      <c r="L186" s="22"/>
      <c r="M186" s="22"/>
      <c r="N186" s="23" t="str">
        <f aca="false">IF(C186="","",SUM(J186:M186))</f>
        <v/>
      </c>
      <c r="O186" s="24" t="str">
        <f aca="false">IF(C186="","",IF(OR(D186="Lucro Real",E186="Indústria",N186&gt;500),"A",IF(OR(D186="Lucro Presumido",I186="S",N186&gt;=100),"B","C")))</f>
        <v/>
      </c>
      <c r="P186" s="21"/>
      <c r="Q186" s="24" t="str">
        <f aca="false">IF(C186="","",IF(P186&lt;&gt;"",P186,O186))</f>
        <v/>
      </c>
      <c r="R186" s="21"/>
      <c r="S186" s="21"/>
      <c r="T186" s="25"/>
      <c r="U186" s="23" t="str">
        <f aca="true">IF(T186="","",T186-TODAY())</f>
        <v/>
      </c>
      <c r="V186" s="21"/>
      <c r="W186" s="25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2"/>
      <c r="K187" s="22"/>
      <c r="L187" s="22"/>
      <c r="M187" s="22"/>
      <c r="N187" s="23" t="str">
        <f aca="false">IF(C187="","",SUM(J187:M187))</f>
        <v/>
      </c>
      <c r="O187" s="24" t="str">
        <f aca="false">IF(C187="","",IF(OR(D187="Lucro Real",E187="Indústria",N187&gt;500),"A",IF(OR(D187="Lucro Presumido",I187="S",N187&gt;=100),"B","C")))</f>
        <v/>
      </c>
      <c r="P187" s="21"/>
      <c r="Q187" s="24" t="str">
        <f aca="false">IF(C187="","",IF(P187&lt;&gt;"",P187,O187))</f>
        <v/>
      </c>
      <c r="R187" s="21"/>
      <c r="S187" s="21"/>
      <c r="T187" s="25"/>
      <c r="U187" s="23" t="str">
        <f aca="true">IF(T187="","",T187-TODAY())</f>
        <v/>
      </c>
      <c r="V187" s="21"/>
      <c r="W187" s="25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2"/>
      <c r="K188" s="22"/>
      <c r="L188" s="22"/>
      <c r="M188" s="22"/>
      <c r="N188" s="23" t="str">
        <f aca="false">IF(C188="","",SUM(J188:M188))</f>
        <v/>
      </c>
      <c r="O188" s="24" t="str">
        <f aca="false">IF(C188="","",IF(OR(D188="Lucro Real",E188="Indústria",N188&gt;500),"A",IF(OR(D188="Lucro Presumido",I188="S",N188&gt;=100),"B","C")))</f>
        <v/>
      </c>
      <c r="P188" s="21"/>
      <c r="Q188" s="24" t="str">
        <f aca="false">IF(C188="","",IF(P188&lt;&gt;"",P188,O188))</f>
        <v/>
      </c>
      <c r="R188" s="21"/>
      <c r="S188" s="21"/>
      <c r="T188" s="25"/>
      <c r="U188" s="23" t="str">
        <f aca="true">IF(T188="","",T188-TODAY())</f>
        <v/>
      </c>
      <c r="V188" s="21"/>
      <c r="W188" s="25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2"/>
      <c r="K189" s="22"/>
      <c r="L189" s="22"/>
      <c r="M189" s="22"/>
      <c r="N189" s="23" t="str">
        <f aca="false">IF(C189="","",SUM(J189:M189))</f>
        <v/>
      </c>
      <c r="O189" s="24" t="str">
        <f aca="false">IF(C189="","",IF(OR(D189="Lucro Real",E189="Indústria",N189&gt;500),"A",IF(OR(D189="Lucro Presumido",I189="S",N189&gt;=100),"B","C")))</f>
        <v/>
      </c>
      <c r="P189" s="21"/>
      <c r="Q189" s="24" t="str">
        <f aca="false">IF(C189="","",IF(P189&lt;&gt;"",P189,O189))</f>
        <v/>
      </c>
      <c r="R189" s="21"/>
      <c r="S189" s="21"/>
      <c r="T189" s="25"/>
      <c r="U189" s="23" t="str">
        <f aca="true">IF(T189="","",T189-TODAY())</f>
        <v/>
      </c>
      <c r="V189" s="21"/>
      <c r="W189" s="25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2"/>
      <c r="K190" s="22"/>
      <c r="L190" s="22"/>
      <c r="M190" s="22"/>
      <c r="N190" s="23" t="str">
        <f aca="false">IF(C190="","",SUM(J190:M190))</f>
        <v/>
      </c>
      <c r="O190" s="24" t="str">
        <f aca="false">IF(C190="","",IF(OR(D190="Lucro Real",E190="Indústria",N190&gt;500),"A",IF(OR(D190="Lucro Presumido",I190="S",N190&gt;=100),"B","C")))</f>
        <v/>
      </c>
      <c r="P190" s="21"/>
      <c r="Q190" s="24" t="str">
        <f aca="false">IF(C190="","",IF(P190&lt;&gt;"",P190,O190))</f>
        <v/>
      </c>
      <c r="R190" s="21"/>
      <c r="S190" s="21"/>
      <c r="T190" s="25"/>
      <c r="U190" s="23" t="str">
        <f aca="true">IF(T190="","",T190-TODAY())</f>
        <v/>
      </c>
      <c r="V190" s="21"/>
      <c r="W190" s="25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2"/>
      <c r="K191" s="22"/>
      <c r="L191" s="22"/>
      <c r="M191" s="22"/>
      <c r="N191" s="23" t="str">
        <f aca="false">IF(C191="","",SUM(J191:M191))</f>
        <v/>
      </c>
      <c r="O191" s="24" t="str">
        <f aca="false">IF(C191="","",IF(OR(D191="Lucro Real",E191="Indústria",N191&gt;500),"A",IF(OR(D191="Lucro Presumido",I191="S",N191&gt;=100),"B","C")))</f>
        <v/>
      </c>
      <c r="P191" s="21"/>
      <c r="Q191" s="24" t="str">
        <f aca="false">IF(C191="","",IF(P191&lt;&gt;"",P191,O191))</f>
        <v/>
      </c>
      <c r="R191" s="21"/>
      <c r="S191" s="21"/>
      <c r="T191" s="25"/>
      <c r="U191" s="23" t="str">
        <f aca="true">IF(T191="","",T191-TODAY())</f>
        <v/>
      </c>
      <c r="V191" s="21"/>
      <c r="W191" s="25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2"/>
      <c r="K192" s="22"/>
      <c r="L192" s="22"/>
      <c r="M192" s="22"/>
      <c r="N192" s="23" t="str">
        <f aca="false">IF(C192="","",SUM(J192:M192))</f>
        <v/>
      </c>
      <c r="O192" s="24" t="str">
        <f aca="false">IF(C192="","",IF(OR(D192="Lucro Real",E192="Indústria",N192&gt;500),"A",IF(OR(D192="Lucro Presumido",I192="S",N192&gt;=100),"B","C")))</f>
        <v/>
      </c>
      <c r="P192" s="21"/>
      <c r="Q192" s="24" t="str">
        <f aca="false">IF(C192="","",IF(P192&lt;&gt;"",P192,O192))</f>
        <v/>
      </c>
      <c r="R192" s="21"/>
      <c r="S192" s="21"/>
      <c r="T192" s="25"/>
      <c r="U192" s="23" t="str">
        <f aca="true">IF(T192="","",T192-TODAY())</f>
        <v/>
      </c>
      <c r="V192" s="21"/>
      <c r="W192" s="25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2"/>
      <c r="K193" s="22"/>
      <c r="L193" s="22"/>
      <c r="M193" s="22"/>
      <c r="N193" s="23" t="str">
        <f aca="false">IF(C193="","",SUM(J193:M193))</f>
        <v/>
      </c>
      <c r="O193" s="24" t="str">
        <f aca="false">IF(C193="","",IF(OR(D193="Lucro Real",E193="Indústria",N193&gt;500),"A",IF(OR(D193="Lucro Presumido",I193="S",N193&gt;=100),"B","C")))</f>
        <v/>
      </c>
      <c r="P193" s="21"/>
      <c r="Q193" s="24" t="str">
        <f aca="false">IF(C193="","",IF(P193&lt;&gt;"",P193,O193))</f>
        <v/>
      </c>
      <c r="R193" s="21"/>
      <c r="S193" s="21"/>
      <c r="T193" s="25"/>
      <c r="U193" s="23" t="str">
        <f aca="true">IF(T193="","",T193-TODAY())</f>
        <v/>
      </c>
      <c r="V193" s="21"/>
      <c r="W193" s="25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2"/>
      <c r="K194" s="22"/>
      <c r="L194" s="22"/>
      <c r="M194" s="22"/>
      <c r="N194" s="23" t="str">
        <f aca="false">IF(C194="","",SUM(J194:M194))</f>
        <v/>
      </c>
      <c r="O194" s="24" t="str">
        <f aca="false">IF(C194="","",IF(OR(D194="Lucro Real",E194="Indústria",N194&gt;500),"A",IF(OR(D194="Lucro Presumido",I194="S",N194&gt;=100),"B","C")))</f>
        <v/>
      </c>
      <c r="P194" s="21"/>
      <c r="Q194" s="24" t="str">
        <f aca="false">IF(C194="","",IF(P194&lt;&gt;"",P194,O194))</f>
        <v/>
      </c>
      <c r="R194" s="21"/>
      <c r="S194" s="21"/>
      <c r="T194" s="25"/>
      <c r="U194" s="23" t="str">
        <f aca="true">IF(T194="","",T194-TODAY())</f>
        <v/>
      </c>
      <c r="V194" s="21"/>
      <c r="W194" s="25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2"/>
      <c r="K195" s="22"/>
      <c r="L195" s="22"/>
      <c r="M195" s="22"/>
      <c r="N195" s="23" t="str">
        <f aca="false">IF(C195="","",SUM(J195:M195))</f>
        <v/>
      </c>
      <c r="O195" s="24" t="str">
        <f aca="false">IF(C195="","",IF(OR(D195="Lucro Real",E195="Indústria",N195&gt;500),"A",IF(OR(D195="Lucro Presumido",I195="S",N195&gt;=100),"B","C")))</f>
        <v/>
      </c>
      <c r="P195" s="21"/>
      <c r="Q195" s="24" t="str">
        <f aca="false">IF(C195="","",IF(P195&lt;&gt;"",P195,O195))</f>
        <v/>
      </c>
      <c r="R195" s="21"/>
      <c r="S195" s="21"/>
      <c r="T195" s="25"/>
      <c r="U195" s="23" t="str">
        <f aca="true">IF(T195="","",T195-TODAY())</f>
        <v/>
      </c>
      <c r="V195" s="21"/>
      <c r="W195" s="25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2"/>
      <c r="K196" s="22"/>
      <c r="L196" s="22"/>
      <c r="M196" s="22"/>
      <c r="N196" s="23" t="str">
        <f aca="false">IF(C196="","",SUM(J196:M196))</f>
        <v/>
      </c>
      <c r="O196" s="24" t="str">
        <f aca="false">IF(C196="","",IF(OR(D196="Lucro Real",E196="Indústria",N196&gt;500),"A",IF(OR(D196="Lucro Presumido",I196="S",N196&gt;=100),"B","C")))</f>
        <v/>
      </c>
      <c r="P196" s="21"/>
      <c r="Q196" s="24" t="str">
        <f aca="false">IF(C196="","",IF(P196&lt;&gt;"",P196,O196))</f>
        <v/>
      </c>
      <c r="R196" s="21"/>
      <c r="S196" s="21"/>
      <c r="T196" s="25"/>
      <c r="U196" s="23" t="str">
        <f aca="true">IF(T196="","",T196-TODAY())</f>
        <v/>
      </c>
      <c r="V196" s="21"/>
      <c r="W196" s="25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2"/>
      <c r="K197" s="22"/>
      <c r="L197" s="22"/>
      <c r="M197" s="22"/>
      <c r="N197" s="23" t="str">
        <f aca="false">IF(C197="","",SUM(J197:M197))</f>
        <v/>
      </c>
      <c r="O197" s="24" t="str">
        <f aca="false">IF(C197="","",IF(OR(D197="Lucro Real",E197="Indústria",N197&gt;500),"A",IF(OR(D197="Lucro Presumido",I197="S",N197&gt;=100),"B","C")))</f>
        <v/>
      </c>
      <c r="P197" s="21"/>
      <c r="Q197" s="24" t="str">
        <f aca="false">IF(C197="","",IF(P197&lt;&gt;"",P197,O197))</f>
        <v/>
      </c>
      <c r="R197" s="21"/>
      <c r="S197" s="21"/>
      <c r="T197" s="25"/>
      <c r="U197" s="23" t="str">
        <f aca="true">IF(T197="","",T197-TODAY())</f>
        <v/>
      </c>
      <c r="V197" s="21"/>
      <c r="W197" s="25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2"/>
      <c r="K198" s="22"/>
      <c r="L198" s="22"/>
      <c r="M198" s="22"/>
      <c r="N198" s="23" t="str">
        <f aca="false">IF(C198="","",SUM(J198:M198))</f>
        <v/>
      </c>
      <c r="O198" s="24" t="str">
        <f aca="false">IF(C198="","",IF(OR(D198="Lucro Real",E198="Indústria",N198&gt;500),"A",IF(OR(D198="Lucro Presumido",I198="S",N198&gt;=100),"B","C")))</f>
        <v/>
      </c>
      <c r="P198" s="21"/>
      <c r="Q198" s="24" t="str">
        <f aca="false">IF(C198="","",IF(P198&lt;&gt;"",P198,O198))</f>
        <v/>
      </c>
      <c r="R198" s="21"/>
      <c r="S198" s="21"/>
      <c r="T198" s="25"/>
      <c r="U198" s="23" t="str">
        <f aca="true">IF(T198="","",T198-TODAY())</f>
        <v/>
      </c>
      <c r="V198" s="21"/>
      <c r="W198" s="25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2"/>
      <c r="K199" s="22"/>
      <c r="L199" s="22"/>
      <c r="M199" s="22"/>
      <c r="N199" s="23" t="str">
        <f aca="false">IF(C199="","",SUM(J199:M199))</f>
        <v/>
      </c>
      <c r="O199" s="24" t="str">
        <f aca="false">IF(C199="","",IF(OR(D199="Lucro Real",E199="Indústria",N199&gt;500),"A",IF(OR(D199="Lucro Presumido",I199="S",N199&gt;=100),"B","C")))</f>
        <v/>
      </c>
      <c r="P199" s="21"/>
      <c r="Q199" s="24" t="str">
        <f aca="false">IF(C199="","",IF(P199&lt;&gt;"",P199,O199))</f>
        <v/>
      </c>
      <c r="R199" s="21"/>
      <c r="S199" s="21"/>
      <c r="T199" s="25"/>
      <c r="U199" s="23" t="str">
        <f aca="true">IF(T199="","",T199-TODAY())</f>
        <v/>
      </c>
      <c r="V199" s="21"/>
      <c r="W199" s="25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2"/>
      <c r="K200" s="22"/>
      <c r="L200" s="22"/>
      <c r="M200" s="22"/>
      <c r="N200" s="23" t="str">
        <f aca="false">IF(C200="","",SUM(J200:M200))</f>
        <v/>
      </c>
      <c r="O200" s="24" t="str">
        <f aca="false">IF(C200="","",IF(OR(D200="Lucro Real",E200="Indústria",N200&gt;500),"A",IF(OR(D200="Lucro Presumido",I200="S",N200&gt;=100),"B","C")))</f>
        <v/>
      </c>
      <c r="P200" s="21"/>
      <c r="Q200" s="24" t="str">
        <f aca="false">IF(C200="","",IF(P200&lt;&gt;"",P200,O200))</f>
        <v/>
      </c>
      <c r="R200" s="21"/>
      <c r="S200" s="21"/>
      <c r="T200" s="25"/>
      <c r="U200" s="23" t="str">
        <f aca="true">IF(T200="","",T200-TODAY())</f>
        <v/>
      </c>
      <c r="V200" s="21"/>
      <c r="W200" s="25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2"/>
      <c r="K201" s="22"/>
      <c r="L201" s="22"/>
      <c r="M201" s="22"/>
      <c r="N201" s="23" t="str">
        <f aca="false">IF(C201="","",SUM(J201:M201))</f>
        <v/>
      </c>
      <c r="O201" s="24" t="str">
        <f aca="false">IF(C201="","",IF(OR(D201="Lucro Real",E201="Indústria",N201&gt;500),"A",IF(OR(D201="Lucro Presumido",I201="S",N201&gt;=100),"B","C")))</f>
        <v/>
      </c>
      <c r="P201" s="21"/>
      <c r="Q201" s="24" t="str">
        <f aca="false">IF(C201="","",IF(P201&lt;&gt;"",P201,O201))</f>
        <v/>
      </c>
      <c r="R201" s="21"/>
      <c r="S201" s="21"/>
      <c r="T201" s="25"/>
      <c r="U201" s="23" t="str">
        <f aca="true">IF(T201="","",T201-TODAY())</f>
        <v/>
      </c>
      <c r="V201" s="21"/>
      <c r="W201" s="25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2"/>
      <c r="K202" s="22"/>
      <c r="L202" s="22"/>
      <c r="M202" s="22"/>
      <c r="N202" s="23" t="str">
        <f aca="false">IF(C202="","",SUM(J202:M202))</f>
        <v/>
      </c>
      <c r="O202" s="24" t="str">
        <f aca="false">IF(C202="","",IF(OR(D202="Lucro Real",E202="Indústria",N202&gt;500),"A",IF(OR(D202="Lucro Presumido",I202="S",N202&gt;=100),"B","C")))</f>
        <v/>
      </c>
      <c r="P202" s="21"/>
      <c r="Q202" s="24" t="str">
        <f aca="false">IF(C202="","",IF(P202&lt;&gt;"",P202,O202))</f>
        <v/>
      </c>
      <c r="R202" s="21"/>
      <c r="S202" s="21"/>
      <c r="T202" s="25"/>
      <c r="U202" s="23" t="str">
        <f aca="true">IF(T202="","",T202-TODAY())</f>
        <v/>
      </c>
      <c r="V202" s="21"/>
      <c r="W202" s="25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2"/>
      <c r="K203" s="22"/>
      <c r="L203" s="22"/>
      <c r="M203" s="22"/>
      <c r="N203" s="23" t="str">
        <f aca="false">IF(C203="","",SUM(J203:M203))</f>
        <v/>
      </c>
      <c r="O203" s="24" t="str">
        <f aca="false">IF(C203="","",IF(OR(D203="Lucro Real",E203="Indústria",N203&gt;500),"A",IF(OR(D203="Lucro Presumido",I203="S",N203&gt;=100),"B","C")))</f>
        <v/>
      </c>
      <c r="P203" s="21"/>
      <c r="Q203" s="24" t="str">
        <f aca="false">IF(C203="","",IF(P203&lt;&gt;"",P203,O203))</f>
        <v/>
      </c>
      <c r="R203" s="21"/>
      <c r="S203" s="21"/>
      <c r="T203" s="25"/>
      <c r="U203" s="23" t="str">
        <f aca="true">IF(T203="","",T203-TODAY())</f>
        <v/>
      </c>
      <c r="V203" s="21"/>
      <c r="W203" s="25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2"/>
      <c r="K204" s="22"/>
      <c r="L204" s="22"/>
      <c r="M204" s="22"/>
      <c r="N204" s="23" t="str">
        <f aca="false">IF(C204="","",SUM(J204:M204))</f>
        <v/>
      </c>
      <c r="O204" s="24" t="str">
        <f aca="false">IF(C204="","",IF(OR(D204="Lucro Real",E204="Indústria",N204&gt;500),"A",IF(OR(D204="Lucro Presumido",I204="S",N204&gt;=100),"B","C")))</f>
        <v/>
      </c>
      <c r="P204" s="21"/>
      <c r="Q204" s="24" t="str">
        <f aca="false">IF(C204="","",IF(P204&lt;&gt;"",P204,O204))</f>
        <v/>
      </c>
      <c r="R204" s="21"/>
      <c r="S204" s="21"/>
      <c r="T204" s="25"/>
      <c r="U204" s="23" t="str">
        <f aca="true">IF(T204="","",T204-TODAY())</f>
        <v/>
      </c>
      <c r="V204" s="21"/>
      <c r="W204" s="25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customFormat="false" ht="1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2"/>
      <c r="K205" s="22"/>
      <c r="L205" s="22"/>
      <c r="M205" s="22"/>
      <c r="N205" s="23" t="str">
        <f aca="false">IF(C205="","",SUM(J205:M205))</f>
        <v/>
      </c>
      <c r="O205" s="24" t="str">
        <f aca="false">IF(C205="","",IF(OR(D205="Lucro Real",E205="Indústria",N205&gt;500),"A",IF(OR(D205="Lucro Presumido",I205="S",N205&gt;=100),"B","C")))</f>
        <v/>
      </c>
      <c r="P205" s="21"/>
      <c r="Q205" s="24" t="str">
        <f aca="false">IF(C205="","",IF(P205&lt;&gt;"",P205,O205))</f>
        <v/>
      </c>
      <c r="R205" s="21"/>
      <c r="S205" s="21"/>
      <c r="T205" s="25"/>
      <c r="U205" s="23" t="str">
        <f aca="true">IF(T205="","",T205-TODAY())</f>
        <v/>
      </c>
      <c r="V205" s="21"/>
      <c r="W205" s="25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customFormat="false" ht="1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2"/>
      <c r="K206" s="22"/>
      <c r="L206" s="22"/>
      <c r="M206" s="22"/>
      <c r="N206" s="23" t="str">
        <f aca="false">IF(C206="","",SUM(J206:M206))</f>
        <v/>
      </c>
      <c r="O206" s="24" t="str">
        <f aca="false">IF(C206="","",IF(OR(D206="Lucro Real",E206="Indústria",N206&gt;500),"A",IF(OR(D206="Lucro Presumido",I206="S",N206&gt;=100),"B","C")))</f>
        <v/>
      </c>
      <c r="P206" s="21"/>
      <c r="Q206" s="24" t="str">
        <f aca="false">IF(C206="","",IF(P206&lt;&gt;"",P206,O206))</f>
        <v/>
      </c>
      <c r="R206" s="21"/>
      <c r="S206" s="21"/>
      <c r="T206" s="25"/>
      <c r="U206" s="23" t="str">
        <f aca="true">IF(T206="","",T206-TODAY())</f>
        <v/>
      </c>
      <c r="V206" s="21"/>
      <c r="W206" s="25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customFormat="false" ht="1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2"/>
      <c r="K207" s="22"/>
      <c r="L207" s="22"/>
      <c r="M207" s="22"/>
      <c r="N207" s="23" t="str">
        <f aca="false">IF(C207="","",SUM(J207:M207))</f>
        <v/>
      </c>
      <c r="O207" s="24" t="str">
        <f aca="false">IF(C207="","",IF(OR(D207="Lucro Real",E207="Indústria",N207&gt;500),"A",IF(OR(D207="Lucro Presumido",I207="S",N207&gt;=100),"B","C")))</f>
        <v/>
      </c>
      <c r="P207" s="21"/>
      <c r="Q207" s="24" t="str">
        <f aca="false">IF(C207="","",IF(P207&lt;&gt;"",P207,O207))</f>
        <v/>
      </c>
      <c r="R207" s="21"/>
      <c r="S207" s="21"/>
      <c r="T207" s="25"/>
      <c r="U207" s="23" t="str">
        <f aca="true">IF(T207="","",T207-TODAY())</f>
        <v/>
      </c>
      <c r="V207" s="21"/>
      <c r="W207" s="25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customFormat="false" ht="1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2"/>
      <c r="K208" s="22"/>
      <c r="L208" s="22"/>
      <c r="M208" s="22"/>
      <c r="N208" s="23" t="str">
        <f aca="false">IF(C208="","",SUM(J208:M208))</f>
        <v/>
      </c>
      <c r="O208" s="24" t="str">
        <f aca="false">IF(C208="","",IF(OR(D208="Lucro Real",E208="Indústria",N208&gt;500),"A",IF(OR(D208="Lucro Presumido",I208="S",N208&gt;=100),"B","C")))</f>
        <v/>
      </c>
      <c r="P208" s="21"/>
      <c r="Q208" s="24" t="str">
        <f aca="false">IF(C208="","",IF(P208&lt;&gt;"",P208,O208))</f>
        <v/>
      </c>
      <c r="R208" s="21"/>
      <c r="S208" s="21"/>
      <c r="T208" s="25"/>
      <c r="U208" s="23" t="str">
        <f aca="true">IF(T208="","",T208-TODAY())</f>
        <v/>
      </c>
      <c r="V208" s="21"/>
      <c r="W208" s="25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customFormat="false" ht="1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2"/>
      <c r="K209" s="22"/>
      <c r="L209" s="22"/>
      <c r="M209" s="22"/>
      <c r="N209" s="23" t="str">
        <f aca="false">IF(C209="","",SUM(J209:M209))</f>
        <v/>
      </c>
      <c r="O209" s="24" t="str">
        <f aca="false">IF(C209="","",IF(OR(D209="Lucro Real",E209="Indústria",N209&gt;500),"A",IF(OR(D209="Lucro Presumido",I209="S",N209&gt;=100),"B","C")))</f>
        <v/>
      </c>
      <c r="P209" s="21"/>
      <c r="Q209" s="24" t="str">
        <f aca="false">IF(C209="","",IF(P209&lt;&gt;"",P209,O209))</f>
        <v/>
      </c>
      <c r="R209" s="21"/>
      <c r="S209" s="21"/>
      <c r="T209" s="25"/>
      <c r="U209" s="23" t="str">
        <f aca="true">IF(T209="","",T209-TODAY())</f>
        <v/>
      </c>
      <c r="V209" s="21"/>
      <c r="W209" s="25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customFormat="false" ht="1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2"/>
      <c r="K210" s="22"/>
      <c r="L210" s="22"/>
      <c r="M210" s="22"/>
      <c r="N210" s="23" t="str">
        <f aca="false">IF(C210="","",SUM(J210:M210))</f>
        <v/>
      </c>
      <c r="O210" s="24" t="str">
        <f aca="false">IF(C210="","",IF(OR(D210="Lucro Real",E210="Indústria",N210&gt;500),"A",IF(OR(D210="Lucro Presumido",I210="S",N210&gt;=100),"B","C")))</f>
        <v/>
      </c>
      <c r="P210" s="21"/>
      <c r="Q210" s="24" t="str">
        <f aca="false">IF(C210="","",IF(P210&lt;&gt;"",P210,O210))</f>
        <v/>
      </c>
      <c r="R210" s="21"/>
      <c r="S210" s="21"/>
      <c r="T210" s="25"/>
      <c r="U210" s="23" t="str">
        <f aca="true">IF(T210="","",T210-TODAY())</f>
        <v/>
      </c>
      <c r="V210" s="21"/>
      <c r="W210" s="25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customFormat="false" ht="1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2"/>
      <c r="K211" s="22"/>
      <c r="L211" s="22"/>
      <c r="M211" s="22"/>
      <c r="N211" s="23" t="str">
        <f aca="false">IF(C211="","",SUM(J211:M211))</f>
        <v/>
      </c>
      <c r="O211" s="24" t="str">
        <f aca="false">IF(C211="","",IF(OR(D211="Lucro Real",E211="Indústria",N211&gt;500),"A",IF(OR(D211="Lucro Presumido",I211="S",N211&gt;=100),"B","C")))</f>
        <v/>
      </c>
      <c r="P211" s="21"/>
      <c r="Q211" s="24" t="str">
        <f aca="false">IF(C211="","",IF(P211&lt;&gt;"",P211,O211))</f>
        <v/>
      </c>
      <c r="R211" s="21"/>
      <c r="S211" s="21"/>
      <c r="T211" s="25"/>
      <c r="U211" s="23" t="str">
        <f aca="true">IF(T211="","",T211-TODAY())</f>
        <v/>
      </c>
      <c r="V211" s="21"/>
      <c r="W211" s="25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customFormat="false" ht="15" hidden="false" customHeight="fals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2"/>
      <c r="K212" s="22"/>
      <c r="L212" s="22"/>
      <c r="M212" s="22"/>
      <c r="N212" s="23" t="str">
        <f aca="false">IF(C212="","",SUM(J212:M212))</f>
        <v/>
      </c>
      <c r="O212" s="24" t="str">
        <f aca="false">IF(C212="","",IF(OR(D212="Lucro Real",E212="Indústria",N212&gt;500),"A",IF(OR(D212="Lucro Presumido",I212="S",N212&gt;=100),"B","C")))</f>
        <v/>
      </c>
      <c r="P212" s="21"/>
      <c r="Q212" s="24" t="str">
        <f aca="false">IF(C212="","",IF(P212&lt;&gt;"",P212,O212))</f>
        <v/>
      </c>
      <c r="R212" s="21"/>
      <c r="S212" s="21"/>
      <c r="T212" s="25"/>
      <c r="U212" s="23" t="str">
        <f aca="true">IF(T212="","",T212-TODAY())</f>
        <v/>
      </c>
      <c r="V212" s="21"/>
      <c r="W212" s="25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customFormat="false" ht="15" hidden="false" customHeight="fals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2"/>
      <c r="K213" s="22"/>
      <c r="L213" s="22"/>
      <c r="M213" s="22"/>
      <c r="N213" s="23" t="str">
        <f aca="false">IF(C213="","",SUM(J213:M213))</f>
        <v/>
      </c>
      <c r="O213" s="24" t="str">
        <f aca="false">IF(C213="","",IF(OR(D213="Lucro Real",E213="Indústria",N213&gt;500),"A",IF(OR(D213="Lucro Presumido",I213="S",N213&gt;=100),"B","C")))</f>
        <v/>
      </c>
      <c r="P213" s="21"/>
      <c r="Q213" s="24" t="str">
        <f aca="false">IF(C213="","",IF(P213&lt;&gt;"",P213,O213))</f>
        <v/>
      </c>
      <c r="R213" s="21"/>
      <c r="S213" s="21"/>
      <c r="T213" s="25"/>
      <c r="U213" s="23" t="str">
        <f aca="true">IF(T213="","",T213-TODAY())</f>
        <v/>
      </c>
      <c r="V213" s="21"/>
      <c r="W213" s="25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customFormat="false" ht="15" hidden="false" customHeight="fals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2"/>
      <c r="K214" s="22"/>
      <c r="L214" s="22"/>
      <c r="M214" s="22"/>
      <c r="N214" s="23" t="str">
        <f aca="false">IF(C214="","",SUM(J214:M214))</f>
        <v/>
      </c>
      <c r="O214" s="24" t="str">
        <f aca="false">IF(C214="","",IF(OR(D214="Lucro Real",E214="Indústria",N214&gt;500),"A",IF(OR(D214="Lucro Presumido",I214="S",N214&gt;=100),"B","C")))</f>
        <v/>
      </c>
      <c r="P214" s="21"/>
      <c r="Q214" s="24" t="str">
        <f aca="false">IF(C214="","",IF(P214&lt;&gt;"",P214,O214))</f>
        <v/>
      </c>
      <c r="R214" s="21"/>
      <c r="S214" s="21"/>
      <c r="T214" s="25"/>
      <c r="U214" s="23" t="str">
        <f aca="true">IF(T214="","",T214-TODAY())</f>
        <v/>
      </c>
      <c r="V214" s="21"/>
      <c r="W214" s="25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customFormat="false" ht="15" hidden="false" customHeight="fals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2"/>
      <c r="K215" s="22"/>
      <c r="L215" s="22"/>
      <c r="M215" s="22"/>
      <c r="N215" s="23" t="str">
        <f aca="false">IF(C215="","",SUM(J215:M215))</f>
        <v/>
      </c>
      <c r="O215" s="24" t="str">
        <f aca="false">IF(C215="","",IF(OR(D215="Lucro Real",E215="Indústria",N215&gt;500),"A",IF(OR(D215="Lucro Presumido",I215="S",N215&gt;=100),"B","C")))</f>
        <v/>
      </c>
      <c r="P215" s="21"/>
      <c r="Q215" s="24" t="str">
        <f aca="false">IF(C215="","",IF(P215&lt;&gt;"",P215,O215))</f>
        <v/>
      </c>
      <c r="R215" s="21"/>
      <c r="S215" s="21"/>
      <c r="T215" s="25"/>
      <c r="U215" s="23" t="str">
        <f aca="true">IF(T215="","",T215-TODAY())</f>
        <v/>
      </c>
      <c r="V215" s="21"/>
      <c r="W215" s="25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customFormat="false" ht="15" hidden="false" customHeight="fals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2"/>
      <c r="K216" s="22"/>
      <c r="L216" s="22"/>
      <c r="M216" s="22"/>
      <c r="N216" s="23" t="str">
        <f aca="false">IF(C216="","",SUM(J216:M216))</f>
        <v/>
      </c>
      <c r="O216" s="24" t="str">
        <f aca="false">IF(C216="","",IF(OR(D216="Lucro Real",E216="Indústria",N216&gt;500),"A",IF(OR(D216="Lucro Presumido",I216="S",N216&gt;=100),"B","C")))</f>
        <v/>
      </c>
      <c r="P216" s="21"/>
      <c r="Q216" s="24" t="str">
        <f aca="false">IF(C216="","",IF(P216&lt;&gt;"",P216,O216))</f>
        <v/>
      </c>
      <c r="R216" s="21"/>
      <c r="S216" s="21"/>
      <c r="T216" s="25"/>
      <c r="U216" s="23" t="str">
        <f aca="true">IF(T216="","",T216-TODAY())</f>
        <v/>
      </c>
      <c r="V216" s="21"/>
      <c r="W216" s="25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customFormat="false" ht="15" hidden="false" customHeight="fals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2"/>
      <c r="K217" s="22"/>
      <c r="L217" s="22"/>
      <c r="M217" s="22"/>
      <c r="N217" s="23" t="str">
        <f aca="false">IF(C217="","",SUM(J217:M217))</f>
        <v/>
      </c>
      <c r="O217" s="24" t="str">
        <f aca="false">IF(C217="","",IF(OR(D217="Lucro Real",E217="Indústria",N217&gt;500),"A",IF(OR(D217="Lucro Presumido",I217="S",N217&gt;=100),"B","C")))</f>
        <v/>
      </c>
      <c r="P217" s="21"/>
      <c r="Q217" s="24" t="str">
        <f aca="false">IF(C217="","",IF(P217&lt;&gt;"",P217,O217))</f>
        <v/>
      </c>
      <c r="R217" s="21"/>
      <c r="S217" s="21"/>
      <c r="T217" s="25"/>
      <c r="U217" s="23" t="str">
        <f aca="true">IF(T217="","",T217-TODAY())</f>
        <v/>
      </c>
      <c r="V217" s="21"/>
      <c r="W217" s="25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customFormat="false" ht="15" hidden="false" customHeight="fals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2"/>
      <c r="K218" s="22"/>
      <c r="L218" s="22"/>
      <c r="M218" s="22"/>
      <c r="N218" s="23" t="str">
        <f aca="false">IF(C218="","",SUM(J218:M218))</f>
        <v/>
      </c>
      <c r="O218" s="24" t="str">
        <f aca="false">IF(C218="","",IF(OR(D218="Lucro Real",E218="Indústria",N218&gt;500),"A",IF(OR(D218="Lucro Presumido",I218="S",N218&gt;=100),"B","C")))</f>
        <v/>
      </c>
      <c r="P218" s="21"/>
      <c r="Q218" s="24" t="str">
        <f aca="false">IF(C218="","",IF(P218&lt;&gt;"",P218,O218))</f>
        <v/>
      </c>
      <c r="R218" s="21"/>
      <c r="S218" s="21"/>
      <c r="T218" s="25"/>
      <c r="U218" s="23" t="str">
        <f aca="true">IF(T218="","",T218-TODAY())</f>
        <v/>
      </c>
      <c r="V218" s="21"/>
      <c r="W218" s="25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customFormat="false" ht="15" hidden="false" customHeight="fals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2"/>
      <c r="K219" s="22"/>
      <c r="L219" s="22"/>
      <c r="M219" s="22"/>
      <c r="N219" s="23" t="str">
        <f aca="false">IF(C219="","",SUM(J219:M219))</f>
        <v/>
      </c>
      <c r="O219" s="24" t="str">
        <f aca="false">IF(C219="","",IF(OR(D219="Lucro Real",E219="Indústria",N219&gt;500),"A",IF(OR(D219="Lucro Presumido",I219="S",N219&gt;=100),"B","C")))</f>
        <v/>
      </c>
      <c r="P219" s="21"/>
      <c r="Q219" s="24" t="str">
        <f aca="false">IF(C219="","",IF(P219&lt;&gt;"",P219,O219))</f>
        <v/>
      </c>
      <c r="R219" s="21"/>
      <c r="S219" s="21"/>
      <c r="T219" s="25"/>
      <c r="U219" s="23" t="str">
        <f aca="true">IF(T219="","",T219-TODAY())</f>
        <v/>
      </c>
      <c r="V219" s="21"/>
      <c r="W219" s="25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customFormat="false" ht="15" hidden="false" customHeight="fals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2"/>
      <c r="K220" s="22"/>
      <c r="L220" s="22"/>
      <c r="M220" s="22"/>
      <c r="N220" s="23" t="str">
        <f aca="false">IF(C220="","",SUM(J220:M220))</f>
        <v/>
      </c>
      <c r="O220" s="24" t="str">
        <f aca="false">IF(C220="","",IF(OR(D220="Lucro Real",E220="Indústria",N220&gt;500),"A",IF(OR(D220="Lucro Presumido",I220="S",N220&gt;=100),"B","C")))</f>
        <v/>
      </c>
      <c r="P220" s="21"/>
      <c r="Q220" s="24" t="str">
        <f aca="false">IF(C220="","",IF(P220&lt;&gt;"",P220,O220))</f>
        <v/>
      </c>
      <c r="R220" s="21"/>
      <c r="S220" s="21"/>
      <c r="T220" s="25"/>
      <c r="U220" s="23" t="str">
        <f aca="true">IF(T220="","",T220-TODAY())</f>
        <v/>
      </c>
      <c r="V220" s="21"/>
      <c r="W220" s="25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customFormat="false" ht="15" hidden="false" customHeight="fals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2"/>
      <c r="K221" s="22"/>
      <c r="L221" s="22"/>
      <c r="M221" s="22"/>
      <c r="N221" s="23" t="str">
        <f aca="false">IF(C221="","",SUM(J221:M221))</f>
        <v/>
      </c>
      <c r="O221" s="24" t="str">
        <f aca="false">IF(C221="","",IF(OR(D221="Lucro Real",E221="Indústria",N221&gt;500),"A",IF(OR(D221="Lucro Presumido",I221="S",N221&gt;=100),"B","C")))</f>
        <v/>
      </c>
      <c r="P221" s="21"/>
      <c r="Q221" s="24" t="str">
        <f aca="false">IF(C221="","",IF(P221&lt;&gt;"",P221,O221))</f>
        <v/>
      </c>
      <c r="R221" s="21"/>
      <c r="S221" s="21"/>
      <c r="T221" s="25"/>
      <c r="U221" s="23" t="str">
        <f aca="true">IF(T221="","",T221-TODAY())</f>
        <v/>
      </c>
      <c r="V221" s="21"/>
      <c r="W221" s="25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customFormat="false" ht="15" hidden="false" customHeight="fals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2"/>
      <c r="K222" s="22"/>
      <c r="L222" s="22"/>
      <c r="M222" s="22"/>
      <c r="N222" s="23" t="str">
        <f aca="false">IF(C222="","",SUM(J222:M222))</f>
        <v/>
      </c>
      <c r="O222" s="24" t="str">
        <f aca="false">IF(C222="","",IF(OR(D222="Lucro Real",E222="Indústria",N222&gt;500),"A",IF(OR(D222="Lucro Presumido",I222="S",N222&gt;=100),"B","C")))</f>
        <v/>
      </c>
      <c r="P222" s="21"/>
      <c r="Q222" s="24" t="str">
        <f aca="false">IF(C222="","",IF(P222&lt;&gt;"",P222,O222))</f>
        <v/>
      </c>
      <c r="R222" s="21"/>
      <c r="S222" s="21"/>
      <c r="T222" s="25"/>
      <c r="U222" s="23" t="str">
        <f aca="true">IF(T222="","",T222-TODAY())</f>
        <v/>
      </c>
      <c r="V222" s="21"/>
      <c r="W222" s="25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customFormat="false" ht="15" hidden="false" customHeight="fals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2"/>
      <c r="K223" s="22"/>
      <c r="L223" s="22"/>
      <c r="M223" s="22"/>
      <c r="N223" s="23" t="str">
        <f aca="false">IF(C223="","",SUM(J223:M223))</f>
        <v/>
      </c>
      <c r="O223" s="24" t="str">
        <f aca="false">IF(C223="","",IF(OR(D223="Lucro Real",E223="Indústria",N223&gt;500),"A",IF(OR(D223="Lucro Presumido",I223="S",N223&gt;=100),"B","C")))</f>
        <v/>
      </c>
      <c r="P223" s="21"/>
      <c r="Q223" s="24" t="str">
        <f aca="false">IF(C223="","",IF(P223&lt;&gt;"",P223,O223))</f>
        <v/>
      </c>
      <c r="R223" s="21"/>
      <c r="S223" s="21"/>
      <c r="T223" s="25"/>
      <c r="U223" s="23" t="str">
        <f aca="true">IF(T223="","",T223-TODAY())</f>
        <v/>
      </c>
      <c r="V223" s="21"/>
      <c r="W223" s="25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customFormat="false" ht="15" hidden="false" customHeight="fals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2"/>
      <c r="K224" s="22"/>
      <c r="L224" s="22"/>
      <c r="M224" s="22"/>
      <c r="N224" s="23" t="str">
        <f aca="false">IF(C224="","",SUM(J224:M224))</f>
        <v/>
      </c>
      <c r="O224" s="24" t="str">
        <f aca="false">IF(C224="","",IF(OR(D224="Lucro Real",E224="Indústria",N224&gt;500),"A",IF(OR(D224="Lucro Presumido",I224="S",N224&gt;=100),"B","C")))</f>
        <v/>
      </c>
      <c r="P224" s="21"/>
      <c r="Q224" s="24" t="str">
        <f aca="false">IF(C224="","",IF(P224&lt;&gt;"",P224,O224))</f>
        <v/>
      </c>
      <c r="R224" s="21"/>
      <c r="S224" s="21"/>
      <c r="T224" s="25"/>
      <c r="U224" s="23" t="str">
        <f aca="true">IF(T224="","",T224-TODAY())</f>
        <v/>
      </c>
      <c r="V224" s="21"/>
      <c r="W224" s="25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customFormat="false" ht="15" hidden="false" customHeight="fals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2"/>
      <c r="K225" s="22"/>
      <c r="L225" s="22"/>
      <c r="M225" s="22"/>
      <c r="N225" s="23" t="str">
        <f aca="false">IF(C225="","",SUM(J225:M225))</f>
        <v/>
      </c>
      <c r="O225" s="24" t="str">
        <f aca="false">IF(C225="","",IF(OR(D225="Lucro Real",E225="Indústria",N225&gt;500),"A",IF(OR(D225="Lucro Presumido",I225="S",N225&gt;=100),"B","C")))</f>
        <v/>
      </c>
      <c r="P225" s="21"/>
      <c r="Q225" s="24" t="str">
        <f aca="false">IF(C225="","",IF(P225&lt;&gt;"",P225,O225))</f>
        <v/>
      </c>
      <c r="R225" s="21"/>
      <c r="S225" s="21"/>
      <c r="T225" s="25"/>
      <c r="U225" s="23" t="str">
        <f aca="true">IF(T225="","",T225-TODAY())</f>
        <v/>
      </c>
      <c r="V225" s="21"/>
      <c r="W225" s="25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customFormat="false" ht="15" hidden="false" customHeight="fals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2"/>
      <c r="K226" s="22"/>
      <c r="L226" s="22"/>
      <c r="M226" s="22"/>
      <c r="N226" s="23" t="str">
        <f aca="false">IF(C226="","",SUM(J226:M226))</f>
        <v/>
      </c>
      <c r="O226" s="24" t="str">
        <f aca="false">IF(C226="","",IF(OR(D226="Lucro Real",E226="Indústria",N226&gt;500),"A",IF(OR(D226="Lucro Presumido",I226="S",N226&gt;=100),"B","C")))</f>
        <v/>
      </c>
      <c r="P226" s="21"/>
      <c r="Q226" s="24" t="str">
        <f aca="false">IF(C226="","",IF(P226&lt;&gt;"",P226,O226))</f>
        <v/>
      </c>
      <c r="R226" s="21"/>
      <c r="S226" s="21"/>
      <c r="T226" s="25"/>
      <c r="U226" s="23" t="str">
        <f aca="true">IF(T226="","",T226-TODAY())</f>
        <v/>
      </c>
      <c r="V226" s="21"/>
      <c r="W226" s="25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 customFormat="false" ht="15" hidden="false" customHeight="fals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2"/>
      <c r="K227" s="22"/>
      <c r="L227" s="22"/>
      <c r="M227" s="22"/>
      <c r="N227" s="23" t="str">
        <f aca="false">IF(C227="","",SUM(J227:M227))</f>
        <v/>
      </c>
      <c r="O227" s="24" t="str">
        <f aca="false">IF(C227="","",IF(OR(D227="Lucro Real",E227="Indústria",N227&gt;500),"A",IF(OR(D227="Lucro Presumido",I227="S",N227&gt;=100),"B","C")))</f>
        <v/>
      </c>
      <c r="P227" s="21"/>
      <c r="Q227" s="24" t="str">
        <f aca="false">IF(C227="","",IF(P227&lt;&gt;"",P227,O227))</f>
        <v/>
      </c>
      <c r="R227" s="21"/>
      <c r="S227" s="21"/>
      <c r="T227" s="25"/>
      <c r="U227" s="23" t="str">
        <f aca="true">IF(T227="","",T227-TODAY())</f>
        <v/>
      </c>
      <c r="V227" s="21"/>
      <c r="W227" s="25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 customFormat="false" ht="15" hidden="false" customHeight="fals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2"/>
      <c r="K228" s="22"/>
      <c r="L228" s="22"/>
      <c r="M228" s="22"/>
      <c r="N228" s="23" t="str">
        <f aca="false">IF(C228="","",SUM(J228:M228))</f>
        <v/>
      </c>
      <c r="O228" s="24" t="str">
        <f aca="false">IF(C228="","",IF(OR(D228="Lucro Real",E228="Indústria",N228&gt;500),"A",IF(OR(D228="Lucro Presumido",I228="S",N228&gt;=100),"B","C")))</f>
        <v/>
      </c>
      <c r="P228" s="21"/>
      <c r="Q228" s="24" t="str">
        <f aca="false">IF(C228="","",IF(P228&lt;&gt;"",P228,O228))</f>
        <v/>
      </c>
      <c r="R228" s="21"/>
      <c r="S228" s="21"/>
      <c r="T228" s="25"/>
      <c r="U228" s="23" t="str">
        <f aca="true">IF(T228="","",T228-TODAY())</f>
        <v/>
      </c>
      <c r="V228" s="21"/>
      <c r="W228" s="25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customFormat="false" ht="15" hidden="false" customHeight="fals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2"/>
      <c r="K229" s="22"/>
      <c r="L229" s="22"/>
      <c r="M229" s="22"/>
      <c r="N229" s="23" t="str">
        <f aca="false">IF(C229="","",SUM(J229:M229))</f>
        <v/>
      </c>
      <c r="O229" s="24" t="str">
        <f aca="false">IF(C229="","",IF(OR(D229="Lucro Real",E229="Indústria",N229&gt;500),"A",IF(OR(D229="Lucro Presumido",I229="S",N229&gt;=100),"B","C")))</f>
        <v/>
      </c>
      <c r="P229" s="21"/>
      <c r="Q229" s="24" t="str">
        <f aca="false">IF(C229="","",IF(P229&lt;&gt;"",P229,O229))</f>
        <v/>
      </c>
      <c r="R229" s="21"/>
      <c r="S229" s="21"/>
      <c r="T229" s="25"/>
      <c r="U229" s="23" t="str">
        <f aca="true">IF(T229="","",T229-TODAY())</f>
        <v/>
      </c>
      <c r="V229" s="21"/>
      <c r="W229" s="25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 customFormat="false" ht="15" hidden="false" customHeight="fals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2"/>
      <c r="K230" s="22"/>
      <c r="L230" s="22"/>
      <c r="M230" s="22"/>
      <c r="N230" s="23" t="str">
        <f aca="false">IF(C230="","",SUM(J230:M230))</f>
        <v/>
      </c>
      <c r="O230" s="24" t="str">
        <f aca="false">IF(C230="","",IF(OR(D230="Lucro Real",E230="Indústria",N230&gt;500),"A",IF(OR(D230="Lucro Presumido",I230="S",N230&gt;=100),"B","C")))</f>
        <v/>
      </c>
      <c r="P230" s="21"/>
      <c r="Q230" s="24" t="str">
        <f aca="false">IF(C230="","",IF(P230&lt;&gt;"",P230,O230))</f>
        <v/>
      </c>
      <c r="R230" s="21"/>
      <c r="S230" s="21"/>
      <c r="T230" s="25"/>
      <c r="U230" s="23" t="str">
        <f aca="true">IF(T230="","",T230-TODAY())</f>
        <v/>
      </c>
      <c r="V230" s="21"/>
      <c r="W230" s="25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 customFormat="false" ht="15" hidden="false" customHeight="fals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2"/>
      <c r="K231" s="22"/>
      <c r="L231" s="22"/>
      <c r="M231" s="22"/>
      <c r="N231" s="23" t="str">
        <f aca="false">IF(C231="","",SUM(J231:M231))</f>
        <v/>
      </c>
      <c r="O231" s="24" t="str">
        <f aca="false">IF(C231="","",IF(OR(D231="Lucro Real",E231="Indústria",N231&gt;500),"A",IF(OR(D231="Lucro Presumido",I231="S",N231&gt;=100),"B","C")))</f>
        <v/>
      </c>
      <c r="P231" s="21"/>
      <c r="Q231" s="24" t="str">
        <f aca="false">IF(C231="","",IF(P231&lt;&gt;"",P231,O231))</f>
        <v/>
      </c>
      <c r="R231" s="21"/>
      <c r="S231" s="21"/>
      <c r="T231" s="25"/>
      <c r="U231" s="23" t="str">
        <f aca="true">IF(T231="","",T231-TODAY())</f>
        <v/>
      </c>
      <c r="V231" s="21"/>
      <c r="W231" s="25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 customFormat="false" ht="15" hidden="false" customHeight="fals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2"/>
      <c r="K232" s="22"/>
      <c r="L232" s="22"/>
      <c r="M232" s="22"/>
      <c r="N232" s="23" t="str">
        <f aca="false">IF(C232="","",SUM(J232:M232))</f>
        <v/>
      </c>
      <c r="O232" s="24" t="str">
        <f aca="false">IF(C232="","",IF(OR(D232="Lucro Real",E232="Indústria",N232&gt;500),"A",IF(OR(D232="Lucro Presumido",I232="S",N232&gt;=100),"B","C")))</f>
        <v/>
      </c>
      <c r="P232" s="21"/>
      <c r="Q232" s="24" t="str">
        <f aca="false">IF(C232="","",IF(P232&lt;&gt;"",P232,O232))</f>
        <v/>
      </c>
      <c r="R232" s="21"/>
      <c r="S232" s="21"/>
      <c r="T232" s="25"/>
      <c r="U232" s="23" t="str">
        <f aca="true">IF(T232="","",T232-TODAY())</f>
        <v/>
      </c>
      <c r="V232" s="21"/>
      <c r="W232" s="25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 customFormat="false" ht="15" hidden="false" customHeight="fals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2"/>
      <c r="K233" s="22"/>
      <c r="L233" s="22"/>
      <c r="M233" s="22"/>
      <c r="N233" s="23" t="str">
        <f aca="false">IF(C233="","",SUM(J233:M233))</f>
        <v/>
      </c>
      <c r="O233" s="24" t="str">
        <f aca="false">IF(C233="","",IF(OR(D233="Lucro Real",E233="Indústria",N233&gt;500),"A",IF(OR(D233="Lucro Presumido",I233="S",N233&gt;=100),"B","C")))</f>
        <v/>
      </c>
      <c r="P233" s="21"/>
      <c r="Q233" s="24" t="str">
        <f aca="false">IF(C233="","",IF(P233&lt;&gt;"",P233,O233))</f>
        <v/>
      </c>
      <c r="R233" s="21"/>
      <c r="S233" s="21"/>
      <c r="T233" s="25"/>
      <c r="U233" s="23" t="str">
        <f aca="true">IF(T233="","",T233-TODAY())</f>
        <v/>
      </c>
      <c r="V233" s="21"/>
      <c r="W233" s="25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customFormat="false" ht="15" hidden="false" customHeight="fals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2"/>
      <c r="K234" s="22"/>
      <c r="L234" s="22"/>
      <c r="M234" s="22"/>
      <c r="N234" s="23" t="str">
        <f aca="false">IF(C234="","",SUM(J234:M234))</f>
        <v/>
      </c>
      <c r="O234" s="24" t="str">
        <f aca="false">IF(C234="","",IF(OR(D234="Lucro Real",E234="Indústria",N234&gt;500),"A",IF(OR(D234="Lucro Presumido",I234="S",N234&gt;=100),"B","C")))</f>
        <v/>
      </c>
      <c r="P234" s="21"/>
      <c r="Q234" s="24" t="str">
        <f aca="false">IF(C234="","",IF(P234&lt;&gt;"",P234,O234))</f>
        <v/>
      </c>
      <c r="R234" s="21"/>
      <c r="S234" s="21"/>
      <c r="T234" s="25"/>
      <c r="U234" s="23" t="str">
        <f aca="true">IF(T234="","",T234-TODAY())</f>
        <v/>
      </c>
      <c r="V234" s="21"/>
      <c r="W234" s="25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 customFormat="false" ht="15" hidden="false" customHeight="fals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2"/>
      <c r="K235" s="22"/>
      <c r="L235" s="22"/>
      <c r="M235" s="22"/>
      <c r="N235" s="23" t="str">
        <f aca="false">IF(C235="","",SUM(J235:M235))</f>
        <v/>
      </c>
      <c r="O235" s="24" t="str">
        <f aca="false">IF(C235="","",IF(OR(D235="Lucro Real",E235="Indústria",N235&gt;500),"A",IF(OR(D235="Lucro Presumido",I235="S",N235&gt;=100),"B","C")))</f>
        <v/>
      </c>
      <c r="P235" s="21"/>
      <c r="Q235" s="24" t="str">
        <f aca="false">IF(C235="","",IF(P235&lt;&gt;"",P235,O235))</f>
        <v/>
      </c>
      <c r="R235" s="21"/>
      <c r="S235" s="21"/>
      <c r="T235" s="25"/>
      <c r="U235" s="23" t="str">
        <f aca="true">IF(T235="","",T235-TODAY())</f>
        <v/>
      </c>
      <c r="V235" s="21"/>
      <c r="W235" s="25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 customFormat="false" ht="15" hidden="false" customHeight="fals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2"/>
      <c r="K236" s="22"/>
      <c r="L236" s="22"/>
      <c r="M236" s="22"/>
      <c r="N236" s="23" t="str">
        <f aca="false">IF(C236="","",SUM(J236:M236))</f>
        <v/>
      </c>
      <c r="O236" s="24" t="str">
        <f aca="false">IF(C236="","",IF(OR(D236="Lucro Real",E236="Indústria",N236&gt;500),"A",IF(OR(D236="Lucro Presumido",I236="S",N236&gt;=100),"B","C")))</f>
        <v/>
      </c>
      <c r="P236" s="21"/>
      <c r="Q236" s="24" t="str">
        <f aca="false">IF(C236="","",IF(P236&lt;&gt;"",P236,O236))</f>
        <v/>
      </c>
      <c r="R236" s="21"/>
      <c r="S236" s="21"/>
      <c r="T236" s="25"/>
      <c r="U236" s="23" t="str">
        <f aca="true">IF(T236="","",T236-TODAY())</f>
        <v/>
      </c>
      <c r="V236" s="21"/>
      <c r="W236" s="25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 customFormat="false" ht="15" hidden="false" customHeight="fals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2"/>
      <c r="K237" s="22"/>
      <c r="L237" s="22"/>
      <c r="M237" s="22"/>
      <c r="N237" s="23" t="str">
        <f aca="false">IF(C237="","",SUM(J237:M237))</f>
        <v/>
      </c>
      <c r="O237" s="24" t="str">
        <f aca="false">IF(C237="","",IF(OR(D237="Lucro Real",E237="Indústria",N237&gt;500),"A",IF(OR(D237="Lucro Presumido",I237="S",N237&gt;=100),"B","C")))</f>
        <v/>
      </c>
      <c r="P237" s="21"/>
      <c r="Q237" s="24" t="str">
        <f aca="false">IF(C237="","",IF(P237&lt;&gt;"",P237,O237))</f>
        <v/>
      </c>
      <c r="R237" s="21"/>
      <c r="S237" s="21"/>
      <c r="T237" s="25"/>
      <c r="U237" s="23" t="str">
        <f aca="true">IF(T237="","",T237-TODAY())</f>
        <v/>
      </c>
      <c r="V237" s="21"/>
      <c r="W237" s="25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 customFormat="false" ht="15" hidden="false" customHeight="fals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2"/>
      <c r="K238" s="22"/>
      <c r="L238" s="22"/>
      <c r="M238" s="22"/>
      <c r="N238" s="23" t="str">
        <f aca="false">IF(C238="","",SUM(J238:M238))</f>
        <v/>
      </c>
      <c r="O238" s="24" t="str">
        <f aca="false">IF(C238="","",IF(OR(D238="Lucro Real",E238="Indústria",N238&gt;500),"A",IF(OR(D238="Lucro Presumido",I238="S",N238&gt;=100),"B","C")))</f>
        <v/>
      </c>
      <c r="P238" s="21"/>
      <c r="Q238" s="24" t="str">
        <f aca="false">IF(C238="","",IF(P238&lt;&gt;"",P238,O238))</f>
        <v/>
      </c>
      <c r="R238" s="21"/>
      <c r="S238" s="21"/>
      <c r="T238" s="25"/>
      <c r="U238" s="23" t="str">
        <f aca="true">IF(T238="","",T238-TODAY())</f>
        <v/>
      </c>
      <c r="V238" s="21"/>
      <c r="W238" s="25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 customFormat="false" ht="15" hidden="false" customHeight="fals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2"/>
      <c r="K239" s="22"/>
      <c r="L239" s="22"/>
      <c r="M239" s="22"/>
      <c r="N239" s="23" t="str">
        <f aca="false">IF(C239="","",SUM(J239:M239))</f>
        <v/>
      </c>
      <c r="O239" s="24" t="str">
        <f aca="false">IF(C239="","",IF(OR(D239="Lucro Real",E239="Indústria",N239&gt;500),"A",IF(OR(D239="Lucro Presumido",I239="S",N239&gt;=100),"B","C")))</f>
        <v/>
      </c>
      <c r="P239" s="21"/>
      <c r="Q239" s="24" t="str">
        <f aca="false">IF(C239="","",IF(P239&lt;&gt;"",P239,O239))</f>
        <v/>
      </c>
      <c r="R239" s="21"/>
      <c r="S239" s="21"/>
      <c r="T239" s="25"/>
      <c r="U239" s="23" t="str">
        <f aca="true">IF(T239="","",T239-TODAY())</f>
        <v/>
      </c>
      <c r="V239" s="21"/>
      <c r="W239" s="25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 customFormat="false" ht="15" hidden="false" customHeight="fals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2"/>
      <c r="K240" s="22"/>
      <c r="L240" s="22"/>
      <c r="M240" s="22"/>
      <c r="N240" s="23" t="str">
        <f aca="false">IF(C240="","",SUM(J240:M240))</f>
        <v/>
      </c>
      <c r="O240" s="24" t="str">
        <f aca="false">IF(C240="","",IF(OR(D240="Lucro Real",E240="Indústria",N240&gt;500),"A",IF(OR(D240="Lucro Presumido",I240="S",N240&gt;=100),"B","C")))</f>
        <v/>
      </c>
      <c r="P240" s="21"/>
      <c r="Q240" s="24" t="str">
        <f aca="false">IF(C240="","",IF(P240&lt;&gt;"",P240,O240))</f>
        <v/>
      </c>
      <c r="R240" s="21"/>
      <c r="S240" s="21"/>
      <c r="T240" s="25"/>
      <c r="U240" s="23" t="str">
        <f aca="true">IF(T240="","",T240-TODAY())</f>
        <v/>
      </c>
      <c r="V240" s="21"/>
      <c r="W240" s="25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 customFormat="false" ht="15" hidden="false" customHeight="fals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2"/>
      <c r="K241" s="22"/>
      <c r="L241" s="22"/>
      <c r="M241" s="22"/>
      <c r="N241" s="23" t="str">
        <f aca="false">IF(C241="","",SUM(J241:M241))</f>
        <v/>
      </c>
      <c r="O241" s="24" t="str">
        <f aca="false">IF(C241="","",IF(OR(D241="Lucro Real",E241="Indústria",N241&gt;500),"A",IF(OR(D241="Lucro Presumido",I241="S",N241&gt;=100),"B","C")))</f>
        <v/>
      </c>
      <c r="P241" s="21"/>
      <c r="Q241" s="24" t="str">
        <f aca="false">IF(C241="","",IF(P241&lt;&gt;"",P241,O241))</f>
        <v/>
      </c>
      <c r="R241" s="21"/>
      <c r="S241" s="21"/>
      <c r="T241" s="25"/>
      <c r="U241" s="23" t="str">
        <f aca="true">IF(T241="","",T241-TODAY())</f>
        <v/>
      </c>
      <c r="V241" s="21"/>
      <c r="W241" s="25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 customFormat="false" ht="15" hidden="false" customHeight="fals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2"/>
      <c r="K242" s="22"/>
      <c r="L242" s="22"/>
      <c r="M242" s="22"/>
      <c r="N242" s="23" t="str">
        <f aca="false">IF(C242="","",SUM(J242:M242))</f>
        <v/>
      </c>
      <c r="O242" s="24" t="str">
        <f aca="false">IF(C242="","",IF(OR(D242="Lucro Real",E242="Indústria",N242&gt;500),"A",IF(OR(D242="Lucro Presumido",I242="S",N242&gt;=100),"B","C")))</f>
        <v/>
      </c>
      <c r="P242" s="21"/>
      <c r="Q242" s="24" t="str">
        <f aca="false">IF(C242="","",IF(P242&lt;&gt;"",P242,O242))</f>
        <v/>
      </c>
      <c r="R242" s="21"/>
      <c r="S242" s="21"/>
      <c r="T242" s="25"/>
      <c r="U242" s="23" t="str">
        <f aca="true">IF(T242="","",T242-TODAY())</f>
        <v/>
      </c>
      <c r="V242" s="21"/>
      <c r="W242" s="25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 customFormat="false" ht="15" hidden="false" customHeight="fals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2"/>
      <c r="K243" s="22"/>
      <c r="L243" s="22"/>
      <c r="M243" s="22"/>
      <c r="N243" s="23" t="str">
        <f aca="false">IF(C243="","",SUM(J243:M243))</f>
        <v/>
      </c>
      <c r="O243" s="24" t="str">
        <f aca="false">IF(C243="","",IF(OR(D243="Lucro Real",E243="Indústria",N243&gt;500),"A",IF(OR(D243="Lucro Presumido",I243="S",N243&gt;=100),"B","C")))</f>
        <v/>
      </c>
      <c r="P243" s="21"/>
      <c r="Q243" s="24" t="str">
        <f aca="false">IF(C243="","",IF(P243&lt;&gt;"",P243,O243))</f>
        <v/>
      </c>
      <c r="R243" s="21"/>
      <c r="S243" s="21"/>
      <c r="T243" s="25"/>
      <c r="U243" s="23" t="str">
        <f aca="true">IF(T243="","",T243-TODAY())</f>
        <v/>
      </c>
      <c r="V243" s="21"/>
      <c r="W243" s="25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customFormat="false" ht="15" hidden="false" customHeight="fals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2"/>
      <c r="K244" s="22"/>
      <c r="L244" s="22"/>
      <c r="M244" s="22"/>
      <c r="N244" s="23" t="str">
        <f aca="false">IF(C244="","",SUM(J244:M244))</f>
        <v/>
      </c>
      <c r="O244" s="24" t="str">
        <f aca="false">IF(C244="","",IF(OR(D244="Lucro Real",E244="Indústria",N244&gt;500),"A",IF(OR(D244="Lucro Presumido",I244="S",N244&gt;=100),"B","C")))</f>
        <v/>
      </c>
      <c r="P244" s="21"/>
      <c r="Q244" s="24" t="str">
        <f aca="false">IF(C244="","",IF(P244&lt;&gt;"",P244,O244))</f>
        <v/>
      </c>
      <c r="R244" s="21"/>
      <c r="S244" s="21"/>
      <c r="T244" s="25"/>
      <c r="U244" s="23" t="str">
        <f aca="true">IF(T244="","",T244-TODAY())</f>
        <v/>
      </c>
      <c r="V244" s="21"/>
      <c r="W244" s="25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customFormat="false" ht="15" hidden="false" customHeight="fals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2"/>
      <c r="K245" s="22"/>
      <c r="L245" s="22"/>
      <c r="M245" s="22"/>
      <c r="N245" s="23" t="str">
        <f aca="false">IF(C245="","",SUM(J245:M245))</f>
        <v/>
      </c>
      <c r="O245" s="24" t="str">
        <f aca="false">IF(C245="","",IF(OR(D245="Lucro Real",E245="Indústria",N245&gt;500),"A",IF(OR(D245="Lucro Presumido",I245="S",N245&gt;=100),"B","C")))</f>
        <v/>
      </c>
      <c r="P245" s="21"/>
      <c r="Q245" s="24" t="str">
        <f aca="false">IF(C245="","",IF(P245&lt;&gt;"",P245,O245))</f>
        <v/>
      </c>
      <c r="R245" s="21"/>
      <c r="S245" s="21"/>
      <c r="T245" s="25"/>
      <c r="U245" s="23" t="str">
        <f aca="true">IF(T245="","",T245-TODAY())</f>
        <v/>
      </c>
      <c r="V245" s="21"/>
      <c r="W245" s="25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 customFormat="false" ht="15" hidden="false" customHeight="fals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2"/>
      <c r="K246" s="22"/>
      <c r="L246" s="22"/>
      <c r="M246" s="22"/>
      <c r="N246" s="23" t="str">
        <f aca="false">IF(C246="","",SUM(J246:M246))</f>
        <v/>
      </c>
      <c r="O246" s="24" t="str">
        <f aca="false">IF(C246="","",IF(OR(D246="Lucro Real",E246="Indústria",N246&gt;500),"A",IF(OR(D246="Lucro Presumido",I246="S",N246&gt;=100),"B","C")))</f>
        <v/>
      </c>
      <c r="P246" s="21"/>
      <c r="Q246" s="24" t="str">
        <f aca="false">IF(C246="","",IF(P246&lt;&gt;"",P246,O246))</f>
        <v/>
      </c>
      <c r="R246" s="21"/>
      <c r="S246" s="21"/>
      <c r="T246" s="25"/>
      <c r="U246" s="23" t="str">
        <f aca="true">IF(T246="","",T246-TODAY())</f>
        <v/>
      </c>
      <c r="V246" s="21"/>
      <c r="W246" s="25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 customFormat="false" ht="15" hidden="false" customHeight="fals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2"/>
      <c r="K247" s="22"/>
      <c r="L247" s="22"/>
      <c r="M247" s="22"/>
      <c r="N247" s="23" t="str">
        <f aca="false">IF(C247="","",SUM(J247:M247))</f>
        <v/>
      </c>
      <c r="O247" s="24" t="str">
        <f aca="false">IF(C247="","",IF(OR(D247="Lucro Real",E247="Indústria",N247&gt;500),"A",IF(OR(D247="Lucro Presumido",I247="S",N247&gt;=100),"B","C")))</f>
        <v/>
      </c>
      <c r="P247" s="21"/>
      <c r="Q247" s="24" t="str">
        <f aca="false">IF(C247="","",IF(P247&lt;&gt;"",P247,O247))</f>
        <v/>
      </c>
      <c r="R247" s="21"/>
      <c r="S247" s="21"/>
      <c r="T247" s="25"/>
      <c r="U247" s="23" t="str">
        <f aca="true">IF(T247="","",T247-TODAY())</f>
        <v/>
      </c>
      <c r="V247" s="21"/>
      <c r="W247" s="25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 customFormat="false" ht="15" hidden="false" customHeight="fals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2"/>
      <c r="K248" s="22"/>
      <c r="L248" s="22"/>
      <c r="M248" s="22"/>
      <c r="N248" s="23" t="str">
        <f aca="false">IF(C248="","",SUM(J248:M248))</f>
        <v/>
      </c>
      <c r="O248" s="24" t="str">
        <f aca="false">IF(C248="","",IF(OR(D248="Lucro Real",E248="Indústria",N248&gt;500),"A",IF(OR(D248="Lucro Presumido",I248="S",N248&gt;=100),"B","C")))</f>
        <v/>
      </c>
      <c r="P248" s="21"/>
      <c r="Q248" s="24" t="str">
        <f aca="false">IF(C248="","",IF(P248&lt;&gt;"",P248,O248))</f>
        <v/>
      </c>
      <c r="R248" s="21"/>
      <c r="S248" s="21"/>
      <c r="T248" s="25"/>
      <c r="U248" s="23" t="str">
        <f aca="true">IF(T248="","",T248-TODAY())</f>
        <v/>
      </c>
      <c r="V248" s="21"/>
      <c r="W248" s="25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 customFormat="false" ht="15" hidden="false" customHeight="fals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2"/>
      <c r="K249" s="22"/>
      <c r="L249" s="22"/>
      <c r="M249" s="22"/>
      <c r="N249" s="23" t="str">
        <f aca="false">IF(C249="","",SUM(J249:M249))</f>
        <v/>
      </c>
      <c r="O249" s="24" t="str">
        <f aca="false">IF(C249="","",IF(OR(D249="Lucro Real",E249="Indústria",N249&gt;500),"A",IF(OR(D249="Lucro Presumido",I249="S",N249&gt;=100),"B","C")))</f>
        <v/>
      </c>
      <c r="P249" s="21"/>
      <c r="Q249" s="24" t="str">
        <f aca="false">IF(C249="","",IF(P249&lt;&gt;"",P249,O249))</f>
        <v/>
      </c>
      <c r="R249" s="21"/>
      <c r="S249" s="21"/>
      <c r="T249" s="25"/>
      <c r="U249" s="23" t="str">
        <f aca="true">IF(T249="","",T249-TODAY())</f>
        <v/>
      </c>
      <c r="V249" s="21"/>
      <c r="W249" s="25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 customFormat="false" ht="15" hidden="false" customHeight="fals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2"/>
      <c r="K250" s="22"/>
      <c r="L250" s="22"/>
      <c r="M250" s="22"/>
      <c r="N250" s="23" t="str">
        <f aca="false">IF(C250="","",SUM(J250:M250))</f>
        <v/>
      </c>
      <c r="O250" s="24" t="str">
        <f aca="false">IF(C250="","",IF(OR(D250="Lucro Real",E250="Indústria",N250&gt;500),"A",IF(OR(D250="Lucro Presumido",I250="S",N250&gt;=100),"B","C")))</f>
        <v/>
      </c>
      <c r="P250" s="21"/>
      <c r="Q250" s="24" t="str">
        <f aca="false">IF(C250="","",IF(P250&lt;&gt;"",P250,O250))</f>
        <v/>
      </c>
      <c r="R250" s="21"/>
      <c r="S250" s="21"/>
      <c r="T250" s="25"/>
      <c r="U250" s="23" t="str">
        <f aca="true">IF(T250="","",T250-TODAY())</f>
        <v/>
      </c>
      <c r="V250" s="21"/>
      <c r="W250" s="25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 customFormat="false" ht="15" hidden="false" customHeight="false" outlineLevel="0" collapsed="false">
      <c r="A251" s="21"/>
      <c r="B251" s="21"/>
      <c r="C251" s="21"/>
      <c r="D251" s="21"/>
      <c r="E251" s="21"/>
      <c r="F251" s="21"/>
      <c r="G251" s="21"/>
      <c r="H251" s="21"/>
      <c r="I251" s="21"/>
      <c r="J251" s="22"/>
      <c r="K251" s="22"/>
      <c r="L251" s="22"/>
      <c r="M251" s="22"/>
      <c r="N251" s="23" t="str">
        <f aca="false">IF(C251="","",SUM(J251:M251))</f>
        <v/>
      </c>
      <c r="O251" s="24" t="str">
        <f aca="false">IF(C251="","",IF(OR(D251="Lucro Real",E251="Indústria",N251&gt;500),"A",IF(OR(D251="Lucro Presumido",I251="S",N251&gt;=100),"B","C")))</f>
        <v/>
      </c>
      <c r="P251" s="21"/>
      <c r="Q251" s="24" t="str">
        <f aca="false">IF(C251="","",IF(P251&lt;&gt;"",P251,O251))</f>
        <v/>
      </c>
      <c r="R251" s="21"/>
      <c r="S251" s="21"/>
      <c r="T251" s="25"/>
      <c r="U251" s="23" t="str">
        <f aca="true">IF(T251="","",T251-TODAY())</f>
        <v/>
      </c>
      <c r="V251" s="21"/>
      <c r="W251" s="25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 customFormat="false" ht="15" hidden="false" customHeight="false" outlineLevel="0" collapsed="false">
      <c r="A252" s="21"/>
      <c r="B252" s="21"/>
      <c r="C252" s="21"/>
      <c r="D252" s="21"/>
      <c r="E252" s="21"/>
      <c r="F252" s="21"/>
      <c r="G252" s="21"/>
      <c r="H252" s="21"/>
      <c r="I252" s="21"/>
      <c r="J252" s="22"/>
      <c r="K252" s="22"/>
      <c r="L252" s="22"/>
      <c r="M252" s="22"/>
      <c r="N252" s="23" t="str">
        <f aca="false">IF(C252="","",SUM(J252:M252))</f>
        <v/>
      </c>
      <c r="O252" s="24" t="str">
        <f aca="false">IF(C252="","",IF(OR(D252="Lucro Real",E252="Indústria",N252&gt;500),"A",IF(OR(D252="Lucro Presumido",I252="S",N252&gt;=100),"B","C")))</f>
        <v/>
      </c>
      <c r="P252" s="21"/>
      <c r="Q252" s="24" t="str">
        <f aca="false">IF(C252="","",IF(P252&lt;&gt;"",P252,O252))</f>
        <v/>
      </c>
      <c r="R252" s="21"/>
      <c r="S252" s="21"/>
      <c r="T252" s="25"/>
      <c r="U252" s="23" t="str">
        <f aca="true">IF(T252="","",T252-TODAY())</f>
        <v/>
      </c>
      <c r="V252" s="21"/>
      <c r="W252" s="25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 customFormat="false" ht="15" hidden="false" customHeight="false" outlineLevel="0" collapsed="false">
      <c r="A253" s="21"/>
      <c r="B253" s="21"/>
      <c r="C253" s="21"/>
      <c r="D253" s="21"/>
      <c r="E253" s="21"/>
      <c r="F253" s="21"/>
      <c r="G253" s="21"/>
      <c r="H253" s="21"/>
      <c r="I253" s="21"/>
      <c r="J253" s="22"/>
      <c r="K253" s="22"/>
      <c r="L253" s="22"/>
      <c r="M253" s="22"/>
      <c r="N253" s="23" t="str">
        <f aca="false">IF(C253="","",SUM(J253:M253))</f>
        <v/>
      </c>
      <c r="O253" s="24" t="str">
        <f aca="false">IF(C253="","",IF(OR(D253="Lucro Real",E253="Indústria",N253&gt;500),"A",IF(OR(D253="Lucro Presumido",I253="S",N253&gt;=100),"B","C")))</f>
        <v/>
      </c>
      <c r="P253" s="21"/>
      <c r="Q253" s="24" t="str">
        <f aca="false">IF(C253="","",IF(P253&lt;&gt;"",P253,O253))</f>
        <v/>
      </c>
      <c r="R253" s="21"/>
      <c r="S253" s="21"/>
      <c r="T253" s="25"/>
      <c r="U253" s="23" t="str">
        <f aca="true">IF(T253="","",T253-TODAY())</f>
        <v/>
      </c>
      <c r="V253" s="21"/>
      <c r="W253" s="25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 customFormat="false" ht="15" hidden="false" customHeight="false" outlineLevel="0" collapsed="false">
      <c r="A254" s="21"/>
      <c r="B254" s="21"/>
      <c r="C254" s="21"/>
      <c r="D254" s="21"/>
      <c r="E254" s="21"/>
      <c r="F254" s="21"/>
      <c r="G254" s="21"/>
      <c r="H254" s="21"/>
      <c r="I254" s="21"/>
      <c r="J254" s="22"/>
      <c r="K254" s="22"/>
      <c r="L254" s="22"/>
      <c r="M254" s="22"/>
      <c r="N254" s="23" t="str">
        <f aca="false">IF(C254="","",SUM(J254:M254))</f>
        <v/>
      </c>
      <c r="O254" s="24" t="str">
        <f aca="false">IF(C254="","",IF(OR(D254="Lucro Real",E254="Indústria",N254&gt;500),"A",IF(OR(D254="Lucro Presumido",I254="S",N254&gt;=100),"B","C")))</f>
        <v/>
      </c>
      <c r="P254" s="21"/>
      <c r="Q254" s="24" t="str">
        <f aca="false">IF(C254="","",IF(P254&lt;&gt;"",P254,O254))</f>
        <v/>
      </c>
      <c r="R254" s="21"/>
      <c r="S254" s="21"/>
      <c r="T254" s="25"/>
      <c r="U254" s="23" t="str">
        <f aca="true">IF(T254="","",T254-TODAY())</f>
        <v/>
      </c>
      <c r="V254" s="21"/>
      <c r="W254" s="25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 customFormat="false" ht="15" hidden="false" customHeight="false" outlineLevel="0" collapsed="false">
      <c r="A255" s="21"/>
      <c r="B255" s="21"/>
      <c r="C255" s="21"/>
      <c r="D255" s="21"/>
      <c r="E255" s="21"/>
      <c r="F255" s="21"/>
      <c r="G255" s="21"/>
      <c r="H255" s="21"/>
      <c r="I255" s="21"/>
      <c r="J255" s="22"/>
      <c r="K255" s="22"/>
      <c r="L255" s="22"/>
      <c r="M255" s="22"/>
      <c r="N255" s="23" t="str">
        <f aca="false">IF(C255="","",SUM(J255:M255))</f>
        <v/>
      </c>
      <c r="O255" s="24" t="str">
        <f aca="false">IF(C255="","",IF(OR(D255="Lucro Real",E255="Indústria",N255&gt;500),"A",IF(OR(D255="Lucro Presumido",I255="S",N255&gt;=100),"B","C")))</f>
        <v/>
      </c>
      <c r="P255" s="21"/>
      <c r="Q255" s="24" t="str">
        <f aca="false">IF(C255="","",IF(P255&lt;&gt;"",P255,O255))</f>
        <v/>
      </c>
      <c r="R255" s="21"/>
      <c r="S255" s="21"/>
      <c r="T255" s="25"/>
      <c r="U255" s="23" t="str">
        <f aca="true">IF(T255="","",T255-TODAY())</f>
        <v/>
      </c>
      <c r="V255" s="21"/>
      <c r="W255" s="25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 customFormat="false" ht="15" hidden="false" customHeight="false" outlineLevel="0" collapsed="false">
      <c r="A256" s="21"/>
      <c r="B256" s="21"/>
      <c r="C256" s="21"/>
      <c r="D256" s="21"/>
      <c r="E256" s="21"/>
      <c r="F256" s="21"/>
      <c r="G256" s="21"/>
      <c r="H256" s="21"/>
      <c r="I256" s="21"/>
      <c r="J256" s="22"/>
      <c r="K256" s="22"/>
      <c r="L256" s="22"/>
      <c r="M256" s="22"/>
      <c r="N256" s="23" t="str">
        <f aca="false">IF(C256="","",SUM(J256:M256))</f>
        <v/>
      </c>
      <c r="O256" s="24" t="str">
        <f aca="false">IF(C256="","",IF(OR(D256="Lucro Real",E256="Indústria",N256&gt;500),"A",IF(OR(D256="Lucro Presumido",I256="S",N256&gt;=100),"B","C")))</f>
        <v/>
      </c>
      <c r="P256" s="21"/>
      <c r="Q256" s="24" t="str">
        <f aca="false">IF(C256="","",IF(P256&lt;&gt;"",P256,O256))</f>
        <v/>
      </c>
      <c r="R256" s="21"/>
      <c r="S256" s="21"/>
      <c r="T256" s="25"/>
      <c r="U256" s="23" t="str">
        <f aca="true">IF(T256="","",T256-TODAY())</f>
        <v/>
      </c>
      <c r="V256" s="21"/>
      <c r="W256" s="25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 customFormat="false" ht="15" hidden="false" customHeight="false" outlineLevel="0" collapsed="false">
      <c r="A257" s="21"/>
      <c r="B257" s="21"/>
      <c r="C257" s="21"/>
      <c r="D257" s="21"/>
      <c r="E257" s="21"/>
      <c r="F257" s="21"/>
      <c r="G257" s="21"/>
      <c r="H257" s="21"/>
      <c r="I257" s="21"/>
      <c r="J257" s="22"/>
      <c r="K257" s="22"/>
      <c r="L257" s="22"/>
      <c r="M257" s="22"/>
      <c r="N257" s="23" t="str">
        <f aca="false">IF(C257="","",SUM(J257:M257))</f>
        <v/>
      </c>
      <c r="O257" s="24" t="str">
        <f aca="false">IF(C257="","",IF(OR(D257="Lucro Real",E257="Indústria",N257&gt;500),"A",IF(OR(D257="Lucro Presumido",I257="S",N257&gt;=100),"B","C")))</f>
        <v/>
      </c>
      <c r="P257" s="21"/>
      <c r="Q257" s="24" t="str">
        <f aca="false">IF(C257="","",IF(P257&lt;&gt;"",P257,O257))</f>
        <v/>
      </c>
      <c r="R257" s="21"/>
      <c r="S257" s="21"/>
      <c r="T257" s="25"/>
      <c r="U257" s="23" t="str">
        <f aca="true">IF(T257="","",T257-TODAY())</f>
        <v/>
      </c>
      <c r="V257" s="21"/>
      <c r="W257" s="25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 customFormat="false" ht="15" hidden="false" customHeight="false" outlineLevel="0" collapsed="false">
      <c r="A258" s="21"/>
      <c r="B258" s="21"/>
      <c r="C258" s="21"/>
      <c r="D258" s="21"/>
      <c r="E258" s="21"/>
      <c r="F258" s="21"/>
      <c r="G258" s="21"/>
      <c r="H258" s="21"/>
      <c r="I258" s="21"/>
      <c r="J258" s="22"/>
      <c r="K258" s="22"/>
      <c r="L258" s="22"/>
      <c r="M258" s="22"/>
      <c r="N258" s="23" t="str">
        <f aca="false">IF(C258="","",SUM(J258:M258))</f>
        <v/>
      </c>
      <c r="O258" s="24" t="str">
        <f aca="false">IF(C258="","",IF(OR(D258="Lucro Real",E258="Indústria",N258&gt;500),"A",IF(OR(D258="Lucro Presumido",I258="S",N258&gt;=100),"B","C")))</f>
        <v/>
      </c>
      <c r="P258" s="21"/>
      <c r="Q258" s="24" t="str">
        <f aca="false">IF(C258="","",IF(P258&lt;&gt;"",P258,O258))</f>
        <v/>
      </c>
      <c r="R258" s="21"/>
      <c r="S258" s="21"/>
      <c r="T258" s="25"/>
      <c r="U258" s="23" t="str">
        <f aca="true">IF(T258="","",T258-TODAY())</f>
        <v/>
      </c>
      <c r="V258" s="21"/>
      <c r="W258" s="25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 customFormat="false" ht="15" hidden="false" customHeight="false" outlineLevel="0" collapsed="false">
      <c r="A259" s="21"/>
      <c r="B259" s="21"/>
      <c r="C259" s="21"/>
      <c r="D259" s="21"/>
      <c r="E259" s="21"/>
      <c r="F259" s="21"/>
      <c r="G259" s="21"/>
      <c r="H259" s="21"/>
      <c r="I259" s="21"/>
      <c r="J259" s="22"/>
      <c r="K259" s="22"/>
      <c r="L259" s="22"/>
      <c r="M259" s="22"/>
      <c r="N259" s="23" t="str">
        <f aca="false">IF(C259="","",SUM(J259:M259))</f>
        <v/>
      </c>
      <c r="O259" s="24" t="str">
        <f aca="false">IF(C259="","",IF(OR(D259="Lucro Real",E259="Indústria",N259&gt;500),"A",IF(OR(D259="Lucro Presumido",I259="S",N259&gt;=100),"B","C")))</f>
        <v/>
      </c>
      <c r="P259" s="21"/>
      <c r="Q259" s="24" t="str">
        <f aca="false">IF(C259="","",IF(P259&lt;&gt;"",P259,O259))</f>
        <v/>
      </c>
      <c r="R259" s="21"/>
      <c r="S259" s="21"/>
      <c r="T259" s="25"/>
      <c r="U259" s="23" t="str">
        <f aca="true">IF(T259="","",T259-TODAY())</f>
        <v/>
      </c>
      <c r="V259" s="21"/>
      <c r="W259" s="25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 customFormat="false" ht="15" hidden="false" customHeight="false" outlineLevel="0" collapsed="false">
      <c r="A260" s="21"/>
      <c r="B260" s="21"/>
      <c r="C260" s="21"/>
      <c r="D260" s="21"/>
      <c r="E260" s="21"/>
      <c r="F260" s="21"/>
      <c r="G260" s="21"/>
      <c r="H260" s="21"/>
      <c r="I260" s="21"/>
      <c r="J260" s="22"/>
      <c r="K260" s="22"/>
      <c r="L260" s="22"/>
      <c r="M260" s="22"/>
      <c r="N260" s="23" t="str">
        <f aca="false">IF(C260="","",SUM(J260:M260))</f>
        <v/>
      </c>
      <c r="O260" s="24" t="str">
        <f aca="false">IF(C260="","",IF(OR(D260="Lucro Real",E260="Indústria",N260&gt;500),"A",IF(OR(D260="Lucro Presumido",I260="S",N260&gt;=100),"B","C")))</f>
        <v/>
      </c>
      <c r="P260" s="21"/>
      <c r="Q260" s="24" t="str">
        <f aca="false">IF(C260="","",IF(P260&lt;&gt;"",P260,O260))</f>
        <v/>
      </c>
      <c r="R260" s="21"/>
      <c r="S260" s="21"/>
      <c r="T260" s="25"/>
      <c r="U260" s="23" t="str">
        <f aca="true">IF(T260="","",T260-TODAY())</f>
        <v/>
      </c>
      <c r="V260" s="21"/>
      <c r="W260" s="25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 customFormat="false" ht="15" hidden="false" customHeight="false" outlineLevel="0" collapsed="false">
      <c r="A261" s="21"/>
      <c r="B261" s="21"/>
      <c r="C261" s="21"/>
      <c r="D261" s="21"/>
      <c r="E261" s="21"/>
      <c r="F261" s="21"/>
      <c r="G261" s="21"/>
      <c r="H261" s="21"/>
      <c r="I261" s="21"/>
      <c r="J261" s="22"/>
      <c r="K261" s="22"/>
      <c r="L261" s="22"/>
      <c r="M261" s="22"/>
      <c r="N261" s="23" t="str">
        <f aca="false">IF(C261="","",SUM(J261:M261))</f>
        <v/>
      </c>
      <c r="O261" s="24" t="str">
        <f aca="false">IF(C261="","",IF(OR(D261="Lucro Real",E261="Indústria",N261&gt;500),"A",IF(OR(D261="Lucro Presumido",I261="S",N261&gt;=100),"B","C")))</f>
        <v/>
      </c>
      <c r="P261" s="21"/>
      <c r="Q261" s="24" t="str">
        <f aca="false">IF(C261="","",IF(P261&lt;&gt;"",P261,O261))</f>
        <v/>
      </c>
      <c r="R261" s="21"/>
      <c r="S261" s="21"/>
      <c r="T261" s="25"/>
      <c r="U261" s="23" t="str">
        <f aca="true">IF(T261="","",T261-TODAY())</f>
        <v/>
      </c>
      <c r="V261" s="21"/>
      <c r="W261" s="25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 customFormat="false" ht="15" hidden="false" customHeight="false" outlineLevel="0" collapsed="false">
      <c r="A262" s="21"/>
      <c r="B262" s="21"/>
      <c r="C262" s="21"/>
      <c r="D262" s="21"/>
      <c r="E262" s="21"/>
      <c r="F262" s="21"/>
      <c r="G262" s="21"/>
      <c r="H262" s="21"/>
      <c r="I262" s="21"/>
      <c r="J262" s="22"/>
      <c r="K262" s="22"/>
      <c r="L262" s="22"/>
      <c r="M262" s="22"/>
      <c r="N262" s="23" t="str">
        <f aca="false">IF(C262="","",SUM(J262:M262))</f>
        <v/>
      </c>
      <c r="O262" s="24" t="str">
        <f aca="false">IF(C262="","",IF(OR(D262="Lucro Real",E262="Indústria",N262&gt;500),"A",IF(OR(D262="Lucro Presumido",I262="S",N262&gt;=100),"B","C")))</f>
        <v/>
      </c>
      <c r="P262" s="21"/>
      <c r="Q262" s="24" t="str">
        <f aca="false">IF(C262="","",IF(P262&lt;&gt;"",P262,O262))</f>
        <v/>
      </c>
      <c r="R262" s="21"/>
      <c r="S262" s="21"/>
      <c r="T262" s="25"/>
      <c r="U262" s="23" t="str">
        <f aca="true">IF(T262="","",T262-TODAY())</f>
        <v/>
      </c>
      <c r="V262" s="21"/>
      <c r="W262" s="25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 customFormat="false" ht="15" hidden="false" customHeight="false" outlineLevel="0" collapsed="false">
      <c r="A263" s="21"/>
      <c r="B263" s="21"/>
      <c r="C263" s="21"/>
      <c r="D263" s="21"/>
      <c r="E263" s="21"/>
      <c r="F263" s="21"/>
      <c r="G263" s="21"/>
      <c r="H263" s="21"/>
      <c r="I263" s="21"/>
      <c r="J263" s="22"/>
      <c r="K263" s="22"/>
      <c r="L263" s="22"/>
      <c r="M263" s="22"/>
      <c r="N263" s="23" t="str">
        <f aca="false">IF(C263="","",SUM(J263:M263))</f>
        <v/>
      </c>
      <c r="O263" s="24" t="str">
        <f aca="false">IF(C263="","",IF(OR(D263="Lucro Real",E263="Indústria",N263&gt;500),"A",IF(OR(D263="Lucro Presumido",I263="S",N263&gt;=100),"B","C")))</f>
        <v/>
      </c>
      <c r="P263" s="21"/>
      <c r="Q263" s="24" t="str">
        <f aca="false">IF(C263="","",IF(P263&lt;&gt;"",P263,O263))</f>
        <v/>
      </c>
      <c r="R263" s="21"/>
      <c r="S263" s="21"/>
      <c r="T263" s="25"/>
      <c r="U263" s="23" t="str">
        <f aca="true">IF(T263="","",T263-TODAY())</f>
        <v/>
      </c>
      <c r="V263" s="21"/>
      <c r="W263" s="25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 customFormat="false" ht="15" hidden="false" customHeight="false" outlineLevel="0" collapsed="false">
      <c r="A264" s="21"/>
      <c r="B264" s="21"/>
      <c r="C264" s="21"/>
      <c r="D264" s="21"/>
      <c r="E264" s="21"/>
      <c r="F264" s="21"/>
      <c r="G264" s="21"/>
      <c r="H264" s="21"/>
      <c r="I264" s="21"/>
      <c r="J264" s="22"/>
      <c r="K264" s="22"/>
      <c r="L264" s="22"/>
      <c r="M264" s="22"/>
      <c r="N264" s="23" t="str">
        <f aca="false">IF(C264="","",SUM(J264:M264))</f>
        <v/>
      </c>
      <c r="O264" s="24" t="str">
        <f aca="false">IF(C264="","",IF(OR(D264="Lucro Real",E264="Indústria",N264&gt;500),"A",IF(OR(D264="Lucro Presumido",I264="S",N264&gt;=100),"B","C")))</f>
        <v/>
      </c>
      <c r="P264" s="21"/>
      <c r="Q264" s="24" t="str">
        <f aca="false">IF(C264="","",IF(P264&lt;&gt;"",P264,O264))</f>
        <v/>
      </c>
      <c r="R264" s="21"/>
      <c r="S264" s="21"/>
      <c r="T264" s="25"/>
      <c r="U264" s="23" t="str">
        <f aca="true">IF(T264="","",T264-TODAY())</f>
        <v/>
      </c>
      <c r="V264" s="21"/>
      <c r="W264" s="25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 customFormat="false" ht="15" hidden="false" customHeight="false" outlineLevel="0" collapsed="false">
      <c r="A265" s="21"/>
      <c r="B265" s="21"/>
      <c r="C265" s="21"/>
      <c r="D265" s="21"/>
      <c r="E265" s="21"/>
      <c r="F265" s="21"/>
      <c r="G265" s="21"/>
      <c r="H265" s="21"/>
      <c r="I265" s="21"/>
      <c r="J265" s="22"/>
      <c r="K265" s="22"/>
      <c r="L265" s="22"/>
      <c r="M265" s="22"/>
      <c r="N265" s="23" t="str">
        <f aca="false">IF(C265="","",SUM(J265:M265))</f>
        <v/>
      </c>
      <c r="O265" s="24" t="str">
        <f aca="false">IF(C265="","",IF(OR(D265="Lucro Real",E265="Indústria",N265&gt;500),"A",IF(OR(D265="Lucro Presumido",I265="S",N265&gt;=100),"B","C")))</f>
        <v/>
      </c>
      <c r="P265" s="21"/>
      <c r="Q265" s="24" t="str">
        <f aca="false">IF(C265="","",IF(P265&lt;&gt;"",P265,O265))</f>
        <v/>
      </c>
      <c r="R265" s="21"/>
      <c r="S265" s="21"/>
      <c r="T265" s="25"/>
      <c r="U265" s="23" t="str">
        <f aca="true">IF(T265="","",T265-TODAY())</f>
        <v/>
      </c>
      <c r="V265" s="21"/>
      <c r="W265" s="25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 customFormat="false" ht="15" hidden="false" customHeight="false" outlineLevel="0" collapsed="false">
      <c r="A266" s="21"/>
      <c r="B266" s="21"/>
      <c r="C266" s="21"/>
      <c r="D266" s="21"/>
      <c r="E266" s="21"/>
      <c r="F266" s="21"/>
      <c r="G266" s="21"/>
      <c r="H266" s="21"/>
      <c r="I266" s="21"/>
      <c r="J266" s="22"/>
      <c r="K266" s="22"/>
      <c r="L266" s="22"/>
      <c r="M266" s="22"/>
      <c r="N266" s="23" t="str">
        <f aca="false">IF(C266="","",SUM(J266:M266))</f>
        <v/>
      </c>
      <c r="O266" s="24" t="str">
        <f aca="false">IF(C266="","",IF(OR(D266="Lucro Real",E266="Indústria",N266&gt;500),"A",IF(OR(D266="Lucro Presumido",I266="S",N266&gt;=100),"B","C")))</f>
        <v/>
      </c>
      <c r="P266" s="21"/>
      <c r="Q266" s="24" t="str">
        <f aca="false">IF(C266="","",IF(P266&lt;&gt;"",P266,O266))</f>
        <v/>
      </c>
      <c r="R266" s="21"/>
      <c r="S266" s="21"/>
      <c r="T266" s="25"/>
      <c r="U266" s="23" t="str">
        <f aca="true">IF(T266="","",T266-TODAY())</f>
        <v/>
      </c>
      <c r="V266" s="21"/>
      <c r="W266" s="25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 customFormat="false" ht="15" hidden="false" customHeight="false" outlineLevel="0" collapsed="false">
      <c r="A267" s="21"/>
      <c r="B267" s="21"/>
      <c r="C267" s="21"/>
      <c r="D267" s="21"/>
      <c r="E267" s="21"/>
      <c r="F267" s="21"/>
      <c r="G267" s="21"/>
      <c r="H267" s="21"/>
      <c r="I267" s="21"/>
      <c r="J267" s="22"/>
      <c r="K267" s="22"/>
      <c r="L267" s="22"/>
      <c r="M267" s="22"/>
      <c r="N267" s="23" t="str">
        <f aca="false">IF(C267="","",SUM(J267:M267))</f>
        <v/>
      </c>
      <c r="O267" s="24" t="str">
        <f aca="false">IF(C267="","",IF(OR(D267="Lucro Real",E267="Indústria",N267&gt;500),"A",IF(OR(D267="Lucro Presumido",I267="S",N267&gt;=100),"B","C")))</f>
        <v/>
      </c>
      <c r="P267" s="21"/>
      <c r="Q267" s="24" t="str">
        <f aca="false">IF(C267="","",IF(P267&lt;&gt;"",P267,O267))</f>
        <v/>
      </c>
      <c r="R267" s="21"/>
      <c r="S267" s="21"/>
      <c r="T267" s="25"/>
      <c r="U267" s="23" t="str">
        <f aca="true">IF(T267="","",T267-TODAY())</f>
        <v/>
      </c>
      <c r="V267" s="21"/>
      <c r="W267" s="25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 customFormat="false" ht="15" hidden="false" customHeight="false" outlineLevel="0" collapsed="false">
      <c r="A268" s="21"/>
      <c r="B268" s="21"/>
      <c r="C268" s="21"/>
      <c r="D268" s="21"/>
      <c r="E268" s="21"/>
      <c r="F268" s="21"/>
      <c r="G268" s="21"/>
      <c r="H268" s="21"/>
      <c r="I268" s="21"/>
      <c r="J268" s="22"/>
      <c r="K268" s="22"/>
      <c r="L268" s="22"/>
      <c r="M268" s="22"/>
      <c r="N268" s="23" t="str">
        <f aca="false">IF(C268="","",SUM(J268:M268))</f>
        <v/>
      </c>
      <c r="O268" s="24" t="str">
        <f aca="false">IF(C268="","",IF(OR(D268="Lucro Real",E268="Indústria",N268&gt;500),"A",IF(OR(D268="Lucro Presumido",I268="S",N268&gt;=100),"B","C")))</f>
        <v/>
      </c>
      <c r="P268" s="21"/>
      <c r="Q268" s="24" t="str">
        <f aca="false">IF(C268="","",IF(P268&lt;&gt;"",P268,O268))</f>
        <v/>
      </c>
      <c r="R268" s="21"/>
      <c r="S268" s="21"/>
      <c r="T268" s="25"/>
      <c r="U268" s="23" t="str">
        <f aca="true">IF(T268="","",T268-TODAY())</f>
        <v/>
      </c>
      <c r="V268" s="21"/>
      <c r="W268" s="25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 customFormat="false" ht="15" hidden="false" customHeight="false" outlineLevel="0" collapsed="false">
      <c r="A269" s="21"/>
      <c r="B269" s="21"/>
      <c r="C269" s="21"/>
      <c r="D269" s="21"/>
      <c r="E269" s="21"/>
      <c r="F269" s="21"/>
      <c r="G269" s="21"/>
      <c r="H269" s="21"/>
      <c r="I269" s="21"/>
      <c r="J269" s="22"/>
      <c r="K269" s="22"/>
      <c r="L269" s="22"/>
      <c r="M269" s="22"/>
      <c r="N269" s="23" t="str">
        <f aca="false">IF(C269="","",SUM(J269:M269))</f>
        <v/>
      </c>
      <c r="O269" s="24" t="str">
        <f aca="false">IF(C269="","",IF(OR(D269="Lucro Real",E269="Indústria",N269&gt;500),"A",IF(OR(D269="Lucro Presumido",I269="S",N269&gt;=100),"B","C")))</f>
        <v/>
      </c>
      <c r="P269" s="21"/>
      <c r="Q269" s="24" t="str">
        <f aca="false">IF(C269="","",IF(P269&lt;&gt;"",P269,O269))</f>
        <v/>
      </c>
      <c r="R269" s="21"/>
      <c r="S269" s="21"/>
      <c r="T269" s="25"/>
      <c r="U269" s="23" t="str">
        <f aca="true">IF(T269="","",T269-TODAY())</f>
        <v/>
      </c>
      <c r="V269" s="21"/>
      <c r="W269" s="25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customFormat="false" ht="15" hidden="false" customHeight="false" outlineLevel="0" collapsed="false">
      <c r="A270" s="21"/>
      <c r="B270" s="21"/>
      <c r="C270" s="21"/>
      <c r="D270" s="21"/>
      <c r="E270" s="21"/>
      <c r="F270" s="21"/>
      <c r="G270" s="21"/>
      <c r="H270" s="21"/>
      <c r="I270" s="21"/>
      <c r="J270" s="22"/>
      <c r="K270" s="22"/>
      <c r="L270" s="22"/>
      <c r="M270" s="22"/>
      <c r="N270" s="23" t="str">
        <f aca="false">IF(C270="","",SUM(J270:M270))</f>
        <v/>
      </c>
      <c r="O270" s="24" t="str">
        <f aca="false">IF(C270="","",IF(OR(D270="Lucro Real",E270="Indústria",N270&gt;500),"A",IF(OR(D270="Lucro Presumido",I270="S",N270&gt;=100),"B","C")))</f>
        <v/>
      </c>
      <c r="P270" s="21"/>
      <c r="Q270" s="24" t="str">
        <f aca="false">IF(C270="","",IF(P270&lt;&gt;"",P270,O270))</f>
        <v/>
      </c>
      <c r="R270" s="21"/>
      <c r="S270" s="21"/>
      <c r="T270" s="25"/>
      <c r="U270" s="23" t="str">
        <f aca="true">IF(T270="","",T270-TODAY())</f>
        <v/>
      </c>
      <c r="V270" s="21"/>
      <c r="W270" s="25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 customFormat="false" ht="15" hidden="false" customHeight="false" outlineLevel="0" collapsed="false">
      <c r="A271" s="21"/>
      <c r="B271" s="21"/>
      <c r="C271" s="21"/>
      <c r="D271" s="21"/>
      <c r="E271" s="21"/>
      <c r="F271" s="21"/>
      <c r="G271" s="21"/>
      <c r="H271" s="21"/>
      <c r="I271" s="21"/>
      <c r="J271" s="22"/>
      <c r="K271" s="22"/>
      <c r="L271" s="22"/>
      <c r="M271" s="22"/>
      <c r="N271" s="23" t="str">
        <f aca="false">IF(C271="","",SUM(J271:M271))</f>
        <v/>
      </c>
      <c r="O271" s="24" t="str">
        <f aca="false">IF(C271="","",IF(OR(D271="Lucro Real",E271="Indústria",N271&gt;500),"A",IF(OR(D271="Lucro Presumido",I271="S",N271&gt;=100),"B","C")))</f>
        <v/>
      </c>
      <c r="P271" s="21"/>
      <c r="Q271" s="24" t="str">
        <f aca="false">IF(C271="","",IF(P271&lt;&gt;"",P271,O271))</f>
        <v/>
      </c>
      <c r="R271" s="21"/>
      <c r="S271" s="21"/>
      <c r="T271" s="25"/>
      <c r="U271" s="23" t="str">
        <f aca="true">IF(T271="","",T271-TODAY())</f>
        <v/>
      </c>
      <c r="V271" s="21"/>
      <c r="W271" s="25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customFormat="false" ht="15" hidden="false" customHeight="false" outlineLevel="0" collapsed="false">
      <c r="A272" s="21"/>
      <c r="B272" s="21"/>
      <c r="C272" s="21"/>
      <c r="D272" s="21"/>
      <c r="E272" s="21"/>
      <c r="F272" s="21"/>
      <c r="G272" s="21"/>
      <c r="H272" s="21"/>
      <c r="I272" s="21"/>
      <c r="J272" s="22"/>
      <c r="K272" s="22"/>
      <c r="L272" s="22"/>
      <c r="M272" s="22"/>
      <c r="N272" s="23" t="str">
        <f aca="false">IF(C272="","",SUM(J272:M272))</f>
        <v/>
      </c>
      <c r="O272" s="24" t="str">
        <f aca="false">IF(C272="","",IF(OR(D272="Lucro Real",E272="Indústria",N272&gt;500),"A",IF(OR(D272="Lucro Presumido",I272="S",N272&gt;=100),"B","C")))</f>
        <v/>
      </c>
      <c r="P272" s="21"/>
      <c r="Q272" s="24" t="str">
        <f aca="false">IF(C272="","",IF(P272&lt;&gt;"",P272,O272))</f>
        <v/>
      </c>
      <c r="R272" s="21"/>
      <c r="S272" s="21"/>
      <c r="T272" s="25"/>
      <c r="U272" s="23" t="str">
        <f aca="true">IF(T272="","",T272-TODAY())</f>
        <v/>
      </c>
      <c r="V272" s="21"/>
      <c r="W272" s="25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 customFormat="false" ht="15" hidden="false" customHeight="false" outlineLevel="0" collapsed="false">
      <c r="A273" s="21"/>
      <c r="B273" s="21"/>
      <c r="C273" s="21"/>
      <c r="D273" s="21"/>
      <c r="E273" s="21"/>
      <c r="F273" s="21"/>
      <c r="G273" s="21"/>
      <c r="H273" s="21"/>
      <c r="I273" s="21"/>
      <c r="J273" s="22"/>
      <c r="K273" s="22"/>
      <c r="L273" s="22"/>
      <c r="M273" s="22"/>
      <c r="N273" s="23" t="str">
        <f aca="false">IF(C273="","",SUM(J273:M273))</f>
        <v/>
      </c>
      <c r="O273" s="24" t="str">
        <f aca="false">IF(C273="","",IF(OR(D273="Lucro Real",E273="Indústria",N273&gt;500),"A",IF(OR(D273="Lucro Presumido",I273="S",N273&gt;=100),"B","C")))</f>
        <v/>
      </c>
      <c r="P273" s="21"/>
      <c r="Q273" s="24" t="str">
        <f aca="false">IF(C273="","",IF(P273&lt;&gt;"",P273,O273))</f>
        <v/>
      </c>
      <c r="R273" s="21"/>
      <c r="S273" s="21"/>
      <c r="T273" s="25"/>
      <c r="U273" s="23" t="str">
        <f aca="true">IF(T273="","",T273-TODAY())</f>
        <v/>
      </c>
      <c r="V273" s="21"/>
      <c r="W273" s="25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 customFormat="false" ht="15" hidden="false" customHeight="false" outlineLevel="0" collapsed="false">
      <c r="A274" s="21"/>
      <c r="B274" s="21"/>
      <c r="C274" s="21"/>
      <c r="D274" s="21"/>
      <c r="E274" s="21"/>
      <c r="F274" s="21"/>
      <c r="G274" s="21"/>
      <c r="H274" s="21"/>
      <c r="I274" s="21"/>
      <c r="J274" s="22"/>
      <c r="K274" s="22"/>
      <c r="L274" s="22"/>
      <c r="M274" s="22"/>
      <c r="N274" s="23" t="str">
        <f aca="false">IF(C274="","",SUM(J274:M274))</f>
        <v/>
      </c>
      <c r="O274" s="24" t="str">
        <f aca="false">IF(C274="","",IF(OR(D274="Lucro Real",E274="Indústria",N274&gt;500),"A",IF(OR(D274="Lucro Presumido",I274="S",N274&gt;=100),"B","C")))</f>
        <v/>
      </c>
      <c r="P274" s="21"/>
      <c r="Q274" s="24" t="str">
        <f aca="false">IF(C274="","",IF(P274&lt;&gt;"",P274,O274))</f>
        <v/>
      </c>
      <c r="R274" s="21"/>
      <c r="S274" s="21"/>
      <c r="T274" s="25"/>
      <c r="U274" s="23" t="str">
        <f aca="true">IF(T274="","",T274-TODAY())</f>
        <v/>
      </c>
      <c r="V274" s="21"/>
      <c r="W274" s="25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 customFormat="false" ht="15" hidden="false" customHeight="false" outlineLevel="0" collapsed="false">
      <c r="A275" s="21"/>
      <c r="B275" s="21"/>
      <c r="C275" s="21"/>
      <c r="D275" s="21"/>
      <c r="E275" s="21"/>
      <c r="F275" s="21"/>
      <c r="G275" s="21"/>
      <c r="H275" s="21"/>
      <c r="I275" s="21"/>
      <c r="J275" s="22"/>
      <c r="K275" s="22"/>
      <c r="L275" s="22"/>
      <c r="M275" s="22"/>
      <c r="N275" s="23" t="str">
        <f aca="false">IF(C275="","",SUM(J275:M275))</f>
        <v/>
      </c>
      <c r="O275" s="24" t="str">
        <f aca="false">IF(C275="","",IF(OR(D275="Lucro Real",E275="Indústria",N275&gt;500),"A",IF(OR(D275="Lucro Presumido",I275="S",N275&gt;=100),"B","C")))</f>
        <v/>
      </c>
      <c r="P275" s="21"/>
      <c r="Q275" s="24" t="str">
        <f aca="false">IF(C275="","",IF(P275&lt;&gt;"",P275,O275))</f>
        <v/>
      </c>
      <c r="R275" s="21"/>
      <c r="S275" s="21"/>
      <c r="T275" s="25"/>
      <c r="U275" s="23" t="str">
        <f aca="true">IF(T275="","",T275-TODAY())</f>
        <v/>
      </c>
      <c r="V275" s="21"/>
      <c r="W275" s="25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 customFormat="false" ht="15" hidden="false" customHeight="false" outlineLevel="0" collapsed="false">
      <c r="A276" s="21"/>
      <c r="B276" s="21"/>
      <c r="C276" s="21"/>
      <c r="D276" s="21"/>
      <c r="E276" s="21"/>
      <c r="F276" s="21"/>
      <c r="G276" s="21"/>
      <c r="H276" s="21"/>
      <c r="I276" s="21"/>
      <c r="J276" s="22"/>
      <c r="K276" s="22"/>
      <c r="L276" s="22"/>
      <c r="M276" s="22"/>
      <c r="N276" s="23" t="str">
        <f aca="false">IF(C276="","",SUM(J276:M276))</f>
        <v/>
      </c>
      <c r="O276" s="24" t="str">
        <f aca="false">IF(C276="","",IF(OR(D276="Lucro Real",E276="Indústria",N276&gt;500),"A",IF(OR(D276="Lucro Presumido",I276="S",N276&gt;=100),"B","C")))</f>
        <v/>
      </c>
      <c r="P276" s="21"/>
      <c r="Q276" s="24" t="str">
        <f aca="false">IF(C276="","",IF(P276&lt;&gt;"",P276,O276))</f>
        <v/>
      </c>
      <c r="R276" s="21"/>
      <c r="S276" s="21"/>
      <c r="T276" s="25"/>
      <c r="U276" s="23" t="str">
        <f aca="true">IF(T276="","",T276-TODAY())</f>
        <v/>
      </c>
      <c r="V276" s="21"/>
      <c r="W276" s="25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 customFormat="false" ht="15" hidden="false" customHeight="false" outlineLevel="0" collapsed="false">
      <c r="A277" s="21"/>
      <c r="B277" s="21"/>
      <c r="C277" s="21"/>
      <c r="D277" s="21"/>
      <c r="E277" s="21"/>
      <c r="F277" s="21"/>
      <c r="G277" s="21"/>
      <c r="H277" s="21"/>
      <c r="I277" s="21"/>
      <c r="J277" s="22"/>
      <c r="K277" s="22"/>
      <c r="L277" s="22"/>
      <c r="M277" s="22"/>
      <c r="N277" s="23" t="str">
        <f aca="false">IF(C277="","",SUM(J277:M277))</f>
        <v/>
      </c>
      <c r="O277" s="24" t="str">
        <f aca="false">IF(C277="","",IF(OR(D277="Lucro Real",E277="Indústria",N277&gt;500),"A",IF(OR(D277="Lucro Presumido",I277="S",N277&gt;=100),"B","C")))</f>
        <v/>
      </c>
      <c r="P277" s="21"/>
      <c r="Q277" s="24" t="str">
        <f aca="false">IF(C277="","",IF(P277&lt;&gt;"",P277,O277))</f>
        <v/>
      </c>
      <c r="R277" s="21"/>
      <c r="S277" s="21"/>
      <c r="T277" s="25"/>
      <c r="U277" s="23" t="str">
        <f aca="true">IF(T277="","",T277-TODAY())</f>
        <v/>
      </c>
      <c r="V277" s="21"/>
      <c r="W277" s="25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 customFormat="false" ht="15" hidden="false" customHeight="false" outlineLevel="0" collapsed="false">
      <c r="A278" s="21"/>
      <c r="B278" s="21"/>
      <c r="C278" s="21"/>
      <c r="D278" s="21"/>
      <c r="E278" s="21"/>
      <c r="F278" s="21"/>
      <c r="G278" s="21"/>
      <c r="H278" s="21"/>
      <c r="I278" s="21"/>
      <c r="J278" s="22"/>
      <c r="K278" s="22"/>
      <c r="L278" s="22"/>
      <c r="M278" s="22"/>
      <c r="N278" s="23" t="str">
        <f aca="false">IF(C278="","",SUM(J278:M278))</f>
        <v/>
      </c>
      <c r="O278" s="24" t="str">
        <f aca="false">IF(C278="","",IF(OR(D278="Lucro Real",E278="Indústria",N278&gt;500),"A",IF(OR(D278="Lucro Presumido",I278="S",N278&gt;=100),"B","C")))</f>
        <v/>
      </c>
      <c r="P278" s="21"/>
      <c r="Q278" s="24" t="str">
        <f aca="false">IF(C278="","",IF(P278&lt;&gt;"",P278,O278))</f>
        <v/>
      </c>
      <c r="R278" s="21"/>
      <c r="S278" s="21"/>
      <c r="T278" s="25"/>
      <c r="U278" s="23" t="str">
        <f aca="true">IF(T278="","",T278-TODAY())</f>
        <v/>
      </c>
      <c r="V278" s="21"/>
      <c r="W278" s="25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 customFormat="false" ht="15" hidden="false" customHeight="false" outlineLevel="0" collapsed="false">
      <c r="A279" s="21"/>
      <c r="B279" s="21"/>
      <c r="C279" s="21"/>
      <c r="D279" s="21"/>
      <c r="E279" s="21"/>
      <c r="F279" s="21"/>
      <c r="G279" s="21"/>
      <c r="H279" s="21"/>
      <c r="I279" s="21"/>
      <c r="J279" s="22"/>
      <c r="K279" s="22"/>
      <c r="L279" s="22"/>
      <c r="M279" s="22"/>
      <c r="N279" s="23" t="str">
        <f aca="false">IF(C279="","",SUM(J279:M279))</f>
        <v/>
      </c>
      <c r="O279" s="24" t="str">
        <f aca="false">IF(C279="","",IF(OR(D279="Lucro Real",E279="Indústria",N279&gt;500),"A",IF(OR(D279="Lucro Presumido",I279="S",N279&gt;=100),"B","C")))</f>
        <v/>
      </c>
      <c r="P279" s="21"/>
      <c r="Q279" s="24" t="str">
        <f aca="false">IF(C279="","",IF(P279&lt;&gt;"",P279,O279))</f>
        <v/>
      </c>
      <c r="R279" s="21"/>
      <c r="S279" s="21"/>
      <c r="T279" s="25"/>
      <c r="U279" s="23" t="str">
        <f aca="true">IF(T279="","",T279-TODAY())</f>
        <v/>
      </c>
      <c r="V279" s="21"/>
      <c r="W279" s="25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 customFormat="false" ht="15" hidden="false" customHeight="false" outlineLevel="0" collapsed="false">
      <c r="A280" s="21"/>
      <c r="B280" s="21"/>
      <c r="C280" s="21"/>
      <c r="D280" s="21"/>
      <c r="E280" s="21"/>
      <c r="F280" s="21"/>
      <c r="G280" s="21"/>
      <c r="H280" s="21"/>
      <c r="I280" s="21"/>
      <c r="J280" s="22"/>
      <c r="K280" s="22"/>
      <c r="L280" s="22"/>
      <c r="M280" s="22"/>
      <c r="N280" s="23" t="str">
        <f aca="false">IF(C280="","",SUM(J280:M280))</f>
        <v/>
      </c>
      <c r="O280" s="24" t="str">
        <f aca="false">IF(C280="","",IF(OR(D280="Lucro Real",E280="Indústria",N280&gt;500),"A",IF(OR(D280="Lucro Presumido",I280="S",N280&gt;=100),"B","C")))</f>
        <v/>
      </c>
      <c r="P280" s="21"/>
      <c r="Q280" s="24" t="str">
        <f aca="false">IF(C280="","",IF(P280&lt;&gt;"",P280,O280))</f>
        <v/>
      </c>
      <c r="R280" s="21"/>
      <c r="S280" s="21"/>
      <c r="T280" s="25"/>
      <c r="U280" s="23" t="str">
        <f aca="true">IF(T280="","",T280-TODAY())</f>
        <v/>
      </c>
      <c r="V280" s="21"/>
      <c r="W280" s="25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 customFormat="false" ht="15" hidden="false" customHeight="false" outlineLevel="0" collapsed="false">
      <c r="A281" s="21"/>
      <c r="B281" s="21"/>
      <c r="C281" s="21"/>
      <c r="D281" s="21"/>
      <c r="E281" s="21"/>
      <c r="F281" s="21"/>
      <c r="G281" s="21"/>
      <c r="H281" s="21"/>
      <c r="I281" s="21"/>
      <c r="J281" s="22"/>
      <c r="K281" s="22"/>
      <c r="L281" s="22"/>
      <c r="M281" s="22"/>
      <c r="N281" s="23" t="str">
        <f aca="false">IF(C281="","",SUM(J281:M281))</f>
        <v/>
      </c>
      <c r="O281" s="24" t="str">
        <f aca="false">IF(C281="","",IF(OR(D281="Lucro Real",E281="Indústria",N281&gt;500),"A",IF(OR(D281="Lucro Presumido",I281="S",N281&gt;=100),"B","C")))</f>
        <v/>
      </c>
      <c r="P281" s="21"/>
      <c r="Q281" s="24" t="str">
        <f aca="false">IF(C281="","",IF(P281&lt;&gt;"",P281,O281))</f>
        <v/>
      </c>
      <c r="R281" s="21"/>
      <c r="S281" s="21"/>
      <c r="T281" s="25"/>
      <c r="U281" s="23" t="str">
        <f aca="true">IF(T281="","",T281-TODAY())</f>
        <v/>
      </c>
      <c r="V281" s="21"/>
      <c r="W281" s="25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 customFormat="false" ht="15" hidden="false" customHeight="false" outlineLevel="0" collapsed="false">
      <c r="A282" s="21"/>
      <c r="B282" s="21"/>
      <c r="C282" s="21"/>
      <c r="D282" s="21"/>
      <c r="E282" s="21"/>
      <c r="F282" s="21"/>
      <c r="G282" s="21"/>
      <c r="H282" s="21"/>
      <c r="I282" s="21"/>
      <c r="J282" s="22"/>
      <c r="K282" s="22"/>
      <c r="L282" s="22"/>
      <c r="M282" s="22"/>
      <c r="N282" s="23" t="str">
        <f aca="false">IF(C282="","",SUM(J282:M282))</f>
        <v/>
      </c>
      <c r="O282" s="24" t="str">
        <f aca="false">IF(C282="","",IF(OR(D282="Lucro Real",E282="Indústria",N282&gt;500),"A",IF(OR(D282="Lucro Presumido",I282="S",N282&gt;=100),"B","C")))</f>
        <v/>
      </c>
      <c r="P282" s="21"/>
      <c r="Q282" s="24" t="str">
        <f aca="false">IF(C282="","",IF(P282&lt;&gt;"",P282,O282))</f>
        <v/>
      </c>
      <c r="R282" s="21"/>
      <c r="S282" s="21"/>
      <c r="T282" s="25"/>
      <c r="U282" s="23" t="str">
        <f aca="true">IF(T282="","",T282-TODAY())</f>
        <v/>
      </c>
      <c r="V282" s="21"/>
      <c r="W282" s="25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customFormat="false" ht="15" hidden="false" customHeight="false" outlineLevel="0" collapsed="false">
      <c r="A283" s="21"/>
      <c r="B283" s="21"/>
      <c r="C283" s="21"/>
      <c r="D283" s="21"/>
      <c r="E283" s="21"/>
      <c r="F283" s="21"/>
      <c r="G283" s="21"/>
      <c r="H283" s="21"/>
      <c r="I283" s="21"/>
      <c r="J283" s="22"/>
      <c r="K283" s="22"/>
      <c r="L283" s="22"/>
      <c r="M283" s="22"/>
      <c r="N283" s="23" t="str">
        <f aca="false">IF(C283="","",SUM(J283:M283))</f>
        <v/>
      </c>
      <c r="O283" s="24" t="str">
        <f aca="false">IF(C283="","",IF(OR(D283="Lucro Real",E283="Indústria",N283&gt;500),"A",IF(OR(D283="Lucro Presumido",I283="S",N283&gt;=100),"B","C")))</f>
        <v/>
      </c>
      <c r="P283" s="21"/>
      <c r="Q283" s="24" t="str">
        <f aca="false">IF(C283="","",IF(P283&lt;&gt;"",P283,O283))</f>
        <v/>
      </c>
      <c r="R283" s="21"/>
      <c r="S283" s="21"/>
      <c r="T283" s="25"/>
      <c r="U283" s="23" t="str">
        <f aca="true">IF(T283="","",T283-TODAY())</f>
        <v/>
      </c>
      <c r="V283" s="21"/>
      <c r="W283" s="25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customFormat="false" ht="15" hidden="false" customHeight="false" outlineLevel="0" collapsed="false">
      <c r="A284" s="21"/>
      <c r="B284" s="21"/>
      <c r="C284" s="21"/>
      <c r="D284" s="21"/>
      <c r="E284" s="21"/>
      <c r="F284" s="21"/>
      <c r="G284" s="21"/>
      <c r="H284" s="21"/>
      <c r="I284" s="21"/>
      <c r="J284" s="22"/>
      <c r="K284" s="22"/>
      <c r="L284" s="22"/>
      <c r="M284" s="22"/>
      <c r="N284" s="23" t="str">
        <f aca="false">IF(C284="","",SUM(J284:M284))</f>
        <v/>
      </c>
      <c r="O284" s="24" t="str">
        <f aca="false">IF(C284="","",IF(OR(D284="Lucro Real",E284="Indústria",N284&gt;500),"A",IF(OR(D284="Lucro Presumido",I284="S",N284&gt;=100),"B","C")))</f>
        <v/>
      </c>
      <c r="P284" s="21"/>
      <c r="Q284" s="24" t="str">
        <f aca="false">IF(C284="","",IF(P284&lt;&gt;"",P284,O284))</f>
        <v/>
      </c>
      <c r="R284" s="21"/>
      <c r="S284" s="21"/>
      <c r="T284" s="25"/>
      <c r="U284" s="23" t="str">
        <f aca="true">IF(T284="","",T284-TODAY())</f>
        <v/>
      </c>
      <c r="V284" s="21"/>
      <c r="W284" s="25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customFormat="false" ht="15" hidden="false" customHeight="false" outlineLevel="0" collapsed="false">
      <c r="A285" s="21"/>
      <c r="B285" s="21"/>
      <c r="C285" s="21"/>
      <c r="D285" s="21"/>
      <c r="E285" s="21"/>
      <c r="F285" s="21"/>
      <c r="G285" s="21"/>
      <c r="H285" s="21"/>
      <c r="I285" s="21"/>
      <c r="J285" s="22"/>
      <c r="K285" s="22"/>
      <c r="L285" s="22"/>
      <c r="M285" s="22"/>
      <c r="N285" s="23" t="str">
        <f aca="false">IF(C285="","",SUM(J285:M285))</f>
        <v/>
      </c>
      <c r="O285" s="24" t="str">
        <f aca="false">IF(C285="","",IF(OR(D285="Lucro Real",E285="Indústria",N285&gt;500),"A",IF(OR(D285="Lucro Presumido",I285="S",N285&gt;=100),"B","C")))</f>
        <v/>
      </c>
      <c r="P285" s="21"/>
      <c r="Q285" s="24" t="str">
        <f aca="false">IF(C285="","",IF(P285&lt;&gt;"",P285,O285))</f>
        <v/>
      </c>
      <c r="R285" s="21"/>
      <c r="S285" s="21"/>
      <c r="T285" s="25"/>
      <c r="U285" s="23" t="str">
        <f aca="true">IF(T285="","",T285-TODAY())</f>
        <v/>
      </c>
      <c r="V285" s="21"/>
      <c r="W285" s="25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customFormat="false" ht="15" hidden="false" customHeight="false" outlineLevel="0" collapsed="false">
      <c r="A286" s="21"/>
      <c r="B286" s="21"/>
      <c r="C286" s="21"/>
      <c r="D286" s="21"/>
      <c r="E286" s="21"/>
      <c r="F286" s="21"/>
      <c r="G286" s="21"/>
      <c r="H286" s="21"/>
      <c r="I286" s="21"/>
      <c r="J286" s="22"/>
      <c r="K286" s="22"/>
      <c r="L286" s="22"/>
      <c r="M286" s="22"/>
      <c r="N286" s="23" t="str">
        <f aca="false">IF(C286="","",SUM(J286:M286))</f>
        <v/>
      </c>
      <c r="O286" s="24" t="str">
        <f aca="false">IF(C286="","",IF(OR(D286="Lucro Real",E286="Indústria",N286&gt;500),"A",IF(OR(D286="Lucro Presumido",I286="S",N286&gt;=100),"B","C")))</f>
        <v/>
      </c>
      <c r="P286" s="21"/>
      <c r="Q286" s="24" t="str">
        <f aca="false">IF(C286="","",IF(P286&lt;&gt;"",P286,O286))</f>
        <v/>
      </c>
      <c r="R286" s="21"/>
      <c r="S286" s="21"/>
      <c r="T286" s="25"/>
      <c r="U286" s="23" t="str">
        <f aca="true">IF(T286="","",T286-TODAY())</f>
        <v/>
      </c>
      <c r="V286" s="21"/>
      <c r="W286" s="25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customFormat="false" ht="15" hidden="false" customHeight="false" outlineLevel="0" collapsed="false">
      <c r="A287" s="21"/>
      <c r="B287" s="21"/>
      <c r="C287" s="21"/>
      <c r="D287" s="21"/>
      <c r="E287" s="21"/>
      <c r="F287" s="21"/>
      <c r="G287" s="21"/>
      <c r="H287" s="21"/>
      <c r="I287" s="21"/>
      <c r="J287" s="22"/>
      <c r="K287" s="22"/>
      <c r="L287" s="22"/>
      <c r="M287" s="22"/>
      <c r="N287" s="23" t="str">
        <f aca="false">IF(C287="","",SUM(J287:M287))</f>
        <v/>
      </c>
      <c r="O287" s="24" t="str">
        <f aca="false">IF(C287="","",IF(OR(D287="Lucro Real",E287="Indústria",N287&gt;500),"A",IF(OR(D287="Lucro Presumido",I287="S",N287&gt;=100),"B","C")))</f>
        <v/>
      </c>
      <c r="P287" s="21"/>
      <c r="Q287" s="24" t="str">
        <f aca="false">IF(C287="","",IF(P287&lt;&gt;"",P287,O287))</f>
        <v/>
      </c>
      <c r="R287" s="21"/>
      <c r="S287" s="21"/>
      <c r="T287" s="25"/>
      <c r="U287" s="23" t="str">
        <f aca="true">IF(T287="","",T287-TODAY())</f>
        <v/>
      </c>
      <c r="V287" s="21"/>
      <c r="W287" s="25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customFormat="false" ht="15" hidden="false" customHeight="false" outlineLevel="0" collapsed="false">
      <c r="A288" s="21"/>
      <c r="B288" s="21"/>
      <c r="C288" s="21"/>
      <c r="D288" s="21"/>
      <c r="E288" s="21"/>
      <c r="F288" s="21"/>
      <c r="G288" s="21"/>
      <c r="H288" s="21"/>
      <c r="I288" s="21"/>
      <c r="J288" s="22"/>
      <c r="K288" s="22"/>
      <c r="L288" s="22"/>
      <c r="M288" s="22"/>
      <c r="N288" s="23" t="str">
        <f aca="false">IF(C288="","",SUM(J288:M288))</f>
        <v/>
      </c>
      <c r="O288" s="24" t="str">
        <f aca="false">IF(C288="","",IF(OR(D288="Lucro Real",E288="Indústria",N288&gt;500),"A",IF(OR(D288="Lucro Presumido",I288="S",N288&gt;=100),"B","C")))</f>
        <v/>
      </c>
      <c r="P288" s="21"/>
      <c r="Q288" s="24" t="str">
        <f aca="false">IF(C288="","",IF(P288&lt;&gt;"",P288,O288))</f>
        <v/>
      </c>
      <c r="R288" s="21"/>
      <c r="S288" s="21"/>
      <c r="T288" s="25"/>
      <c r="U288" s="23" t="str">
        <f aca="true">IF(T288="","",T288-TODAY())</f>
        <v/>
      </c>
      <c r="V288" s="21"/>
      <c r="W288" s="25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customFormat="false" ht="15" hidden="false" customHeight="false" outlineLevel="0" collapsed="false">
      <c r="A289" s="21"/>
      <c r="B289" s="21"/>
      <c r="C289" s="21"/>
      <c r="D289" s="21"/>
      <c r="E289" s="21"/>
      <c r="F289" s="21"/>
      <c r="G289" s="21"/>
      <c r="H289" s="21"/>
      <c r="I289" s="21"/>
      <c r="J289" s="22"/>
      <c r="K289" s="22"/>
      <c r="L289" s="22"/>
      <c r="M289" s="22"/>
      <c r="N289" s="23" t="str">
        <f aca="false">IF(C289="","",SUM(J289:M289))</f>
        <v/>
      </c>
      <c r="O289" s="24" t="str">
        <f aca="false">IF(C289="","",IF(OR(D289="Lucro Real",E289="Indústria",N289&gt;500),"A",IF(OR(D289="Lucro Presumido",I289="S",N289&gt;=100),"B","C")))</f>
        <v/>
      </c>
      <c r="P289" s="21"/>
      <c r="Q289" s="24" t="str">
        <f aca="false">IF(C289="","",IF(P289&lt;&gt;"",P289,O289))</f>
        <v/>
      </c>
      <c r="R289" s="21"/>
      <c r="S289" s="21"/>
      <c r="T289" s="25"/>
      <c r="U289" s="23" t="str">
        <f aca="true">IF(T289="","",T289-TODAY())</f>
        <v/>
      </c>
      <c r="V289" s="21"/>
      <c r="W289" s="25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customFormat="false" ht="15" hidden="false" customHeight="false" outlineLevel="0" collapsed="false">
      <c r="A290" s="21"/>
      <c r="B290" s="21"/>
      <c r="C290" s="21"/>
      <c r="D290" s="21"/>
      <c r="E290" s="21"/>
      <c r="F290" s="21"/>
      <c r="G290" s="21"/>
      <c r="H290" s="21"/>
      <c r="I290" s="21"/>
      <c r="J290" s="22"/>
      <c r="K290" s="22"/>
      <c r="L290" s="22"/>
      <c r="M290" s="22"/>
      <c r="N290" s="23" t="str">
        <f aca="false">IF(C290="","",SUM(J290:M290))</f>
        <v/>
      </c>
      <c r="O290" s="24" t="str">
        <f aca="false">IF(C290="","",IF(OR(D290="Lucro Real",E290="Indústria",N290&gt;500),"A",IF(OR(D290="Lucro Presumido",I290="S",N290&gt;=100),"B","C")))</f>
        <v/>
      </c>
      <c r="P290" s="21"/>
      <c r="Q290" s="24" t="str">
        <f aca="false">IF(C290="","",IF(P290&lt;&gt;"",P290,O290))</f>
        <v/>
      </c>
      <c r="R290" s="21"/>
      <c r="S290" s="21"/>
      <c r="T290" s="25"/>
      <c r="U290" s="23" t="str">
        <f aca="true">IF(T290="","",T290-TODAY())</f>
        <v/>
      </c>
      <c r="V290" s="21"/>
      <c r="W290" s="25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customFormat="false" ht="15" hidden="false" customHeight="false" outlineLevel="0" collapsed="false">
      <c r="A291" s="21"/>
      <c r="B291" s="21"/>
      <c r="C291" s="21"/>
      <c r="D291" s="21"/>
      <c r="E291" s="21"/>
      <c r="F291" s="21"/>
      <c r="G291" s="21"/>
      <c r="H291" s="21"/>
      <c r="I291" s="21"/>
      <c r="J291" s="22"/>
      <c r="K291" s="22"/>
      <c r="L291" s="22"/>
      <c r="M291" s="22"/>
      <c r="N291" s="23" t="str">
        <f aca="false">IF(C291="","",SUM(J291:M291))</f>
        <v/>
      </c>
      <c r="O291" s="24" t="str">
        <f aca="false">IF(C291="","",IF(OR(D291="Lucro Real",E291="Indústria",N291&gt;500),"A",IF(OR(D291="Lucro Presumido",I291="S",N291&gt;=100),"B","C")))</f>
        <v/>
      </c>
      <c r="P291" s="21"/>
      <c r="Q291" s="24" t="str">
        <f aca="false">IF(C291="","",IF(P291&lt;&gt;"",P291,O291))</f>
        <v/>
      </c>
      <c r="R291" s="21"/>
      <c r="S291" s="21"/>
      <c r="T291" s="25"/>
      <c r="U291" s="23" t="str">
        <f aca="true">IF(T291="","",T291-TODAY())</f>
        <v/>
      </c>
      <c r="V291" s="21"/>
      <c r="W291" s="25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customFormat="false" ht="15" hidden="false" customHeight="false" outlineLevel="0" collapsed="false">
      <c r="A292" s="21"/>
      <c r="B292" s="21"/>
      <c r="C292" s="21"/>
      <c r="D292" s="21"/>
      <c r="E292" s="21"/>
      <c r="F292" s="21"/>
      <c r="G292" s="21"/>
      <c r="H292" s="21"/>
      <c r="I292" s="21"/>
      <c r="J292" s="22"/>
      <c r="K292" s="22"/>
      <c r="L292" s="22"/>
      <c r="M292" s="22"/>
      <c r="N292" s="23" t="str">
        <f aca="false">IF(C292="","",SUM(J292:M292))</f>
        <v/>
      </c>
      <c r="O292" s="24" t="str">
        <f aca="false">IF(C292="","",IF(OR(D292="Lucro Real",E292="Indústria",N292&gt;500),"A",IF(OR(D292="Lucro Presumido",I292="S",N292&gt;=100),"B","C")))</f>
        <v/>
      </c>
      <c r="P292" s="21"/>
      <c r="Q292" s="24" t="str">
        <f aca="false">IF(C292="","",IF(P292&lt;&gt;"",P292,O292))</f>
        <v/>
      </c>
      <c r="R292" s="21"/>
      <c r="S292" s="21"/>
      <c r="T292" s="25"/>
      <c r="U292" s="23" t="str">
        <f aca="true">IF(T292="","",T292-TODAY())</f>
        <v/>
      </c>
      <c r="V292" s="21"/>
      <c r="W292" s="25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customFormat="false" ht="15" hidden="false" customHeight="false" outlineLevel="0" collapsed="false">
      <c r="A293" s="21"/>
      <c r="B293" s="21"/>
      <c r="C293" s="21"/>
      <c r="D293" s="21"/>
      <c r="E293" s="21"/>
      <c r="F293" s="21"/>
      <c r="G293" s="21"/>
      <c r="H293" s="21"/>
      <c r="I293" s="21"/>
      <c r="J293" s="22"/>
      <c r="K293" s="22"/>
      <c r="L293" s="22"/>
      <c r="M293" s="22"/>
      <c r="N293" s="23" t="str">
        <f aca="false">IF(C293="","",SUM(J293:M293))</f>
        <v/>
      </c>
      <c r="O293" s="24" t="str">
        <f aca="false">IF(C293="","",IF(OR(D293="Lucro Real",E293="Indústria",N293&gt;500),"A",IF(OR(D293="Lucro Presumido",I293="S",N293&gt;=100),"B","C")))</f>
        <v/>
      </c>
      <c r="P293" s="21"/>
      <c r="Q293" s="24" t="str">
        <f aca="false">IF(C293="","",IF(P293&lt;&gt;"",P293,O293))</f>
        <v/>
      </c>
      <c r="R293" s="21"/>
      <c r="S293" s="21"/>
      <c r="T293" s="25"/>
      <c r="U293" s="23" t="str">
        <f aca="true">IF(T293="","",T293-TODAY())</f>
        <v/>
      </c>
      <c r="V293" s="21"/>
      <c r="W293" s="25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customFormat="false" ht="15" hidden="false" customHeight="false" outlineLevel="0" collapsed="false">
      <c r="A294" s="21"/>
      <c r="B294" s="21"/>
      <c r="C294" s="21"/>
      <c r="D294" s="21"/>
      <c r="E294" s="21"/>
      <c r="F294" s="21"/>
      <c r="G294" s="21"/>
      <c r="H294" s="21"/>
      <c r="I294" s="21"/>
      <c r="J294" s="22"/>
      <c r="K294" s="22"/>
      <c r="L294" s="22"/>
      <c r="M294" s="22"/>
      <c r="N294" s="23" t="str">
        <f aca="false">IF(C294="","",SUM(J294:M294))</f>
        <v/>
      </c>
      <c r="O294" s="24" t="str">
        <f aca="false">IF(C294="","",IF(OR(D294="Lucro Real",E294="Indústria",N294&gt;500),"A",IF(OR(D294="Lucro Presumido",I294="S",N294&gt;=100),"B","C")))</f>
        <v/>
      </c>
      <c r="P294" s="21"/>
      <c r="Q294" s="24" t="str">
        <f aca="false">IF(C294="","",IF(P294&lt;&gt;"",P294,O294))</f>
        <v/>
      </c>
      <c r="R294" s="21"/>
      <c r="S294" s="21"/>
      <c r="T294" s="25"/>
      <c r="U294" s="23" t="str">
        <f aca="true">IF(T294="","",T294-TODAY())</f>
        <v/>
      </c>
      <c r="V294" s="21"/>
      <c r="W294" s="25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customFormat="false" ht="15" hidden="false" customHeight="false" outlineLevel="0" collapsed="false">
      <c r="A295" s="21"/>
      <c r="B295" s="21"/>
      <c r="C295" s="21"/>
      <c r="D295" s="21"/>
      <c r="E295" s="21"/>
      <c r="F295" s="21"/>
      <c r="G295" s="21"/>
      <c r="H295" s="21"/>
      <c r="I295" s="21"/>
      <c r="J295" s="22"/>
      <c r="K295" s="22"/>
      <c r="L295" s="22"/>
      <c r="M295" s="22"/>
      <c r="N295" s="23" t="str">
        <f aca="false">IF(C295="","",SUM(J295:M295))</f>
        <v/>
      </c>
      <c r="O295" s="24" t="str">
        <f aca="false">IF(C295="","",IF(OR(D295="Lucro Real",E295="Indústria",N295&gt;500),"A",IF(OR(D295="Lucro Presumido",I295="S",N295&gt;=100),"B","C")))</f>
        <v/>
      </c>
      <c r="P295" s="21"/>
      <c r="Q295" s="24" t="str">
        <f aca="false">IF(C295="","",IF(P295&lt;&gt;"",P295,O295))</f>
        <v/>
      </c>
      <c r="R295" s="21"/>
      <c r="S295" s="21"/>
      <c r="T295" s="25"/>
      <c r="U295" s="23" t="str">
        <f aca="true">IF(T295="","",T295-TODAY())</f>
        <v/>
      </c>
      <c r="V295" s="21"/>
      <c r="W295" s="25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customFormat="false" ht="15" hidden="false" customHeight="false" outlineLevel="0" collapsed="false">
      <c r="A296" s="21"/>
      <c r="B296" s="21"/>
      <c r="C296" s="21"/>
      <c r="D296" s="21"/>
      <c r="E296" s="21"/>
      <c r="F296" s="21"/>
      <c r="G296" s="21"/>
      <c r="H296" s="21"/>
      <c r="I296" s="21"/>
      <c r="J296" s="22"/>
      <c r="K296" s="22"/>
      <c r="L296" s="22"/>
      <c r="M296" s="22"/>
      <c r="N296" s="23" t="str">
        <f aca="false">IF(C296="","",SUM(J296:M296))</f>
        <v/>
      </c>
      <c r="O296" s="24" t="str">
        <f aca="false">IF(C296="","",IF(OR(D296="Lucro Real",E296="Indústria",N296&gt;500),"A",IF(OR(D296="Lucro Presumido",I296="S",N296&gt;=100),"B","C")))</f>
        <v/>
      </c>
      <c r="P296" s="21"/>
      <c r="Q296" s="24" t="str">
        <f aca="false">IF(C296="","",IF(P296&lt;&gt;"",P296,O296))</f>
        <v/>
      </c>
      <c r="R296" s="21"/>
      <c r="S296" s="21"/>
      <c r="T296" s="25"/>
      <c r="U296" s="23" t="str">
        <f aca="true">IF(T296="","",T296-TODAY())</f>
        <v/>
      </c>
      <c r="V296" s="21"/>
      <c r="W296" s="25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customFormat="false" ht="15" hidden="false" customHeight="false" outlineLevel="0" collapsed="false">
      <c r="A297" s="21"/>
      <c r="B297" s="21"/>
      <c r="C297" s="21"/>
      <c r="D297" s="21"/>
      <c r="E297" s="21"/>
      <c r="F297" s="21"/>
      <c r="G297" s="21"/>
      <c r="H297" s="21"/>
      <c r="I297" s="21"/>
      <c r="J297" s="22"/>
      <c r="K297" s="22"/>
      <c r="L297" s="22"/>
      <c r="M297" s="22"/>
      <c r="N297" s="23" t="str">
        <f aca="false">IF(C297="","",SUM(J297:M297))</f>
        <v/>
      </c>
      <c r="O297" s="24" t="str">
        <f aca="false">IF(C297="","",IF(OR(D297="Lucro Real",E297="Indústria",N297&gt;500),"A",IF(OR(D297="Lucro Presumido",I297="S",N297&gt;=100),"B","C")))</f>
        <v/>
      </c>
      <c r="P297" s="21"/>
      <c r="Q297" s="24" t="str">
        <f aca="false">IF(C297="","",IF(P297&lt;&gt;"",P297,O297))</f>
        <v/>
      </c>
      <c r="R297" s="21"/>
      <c r="S297" s="21"/>
      <c r="T297" s="25"/>
      <c r="U297" s="23" t="str">
        <f aca="true">IF(T297="","",T297-TODAY())</f>
        <v/>
      </c>
      <c r="V297" s="21"/>
      <c r="W297" s="25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customFormat="false" ht="15" hidden="false" customHeight="false" outlineLevel="0" collapsed="false">
      <c r="A298" s="21"/>
      <c r="B298" s="21"/>
      <c r="C298" s="21"/>
      <c r="D298" s="21"/>
      <c r="E298" s="21"/>
      <c r="F298" s="21"/>
      <c r="G298" s="21"/>
      <c r="H298" s="21"/>
      <c r="I298" s="21"/>
      <c r="J298" s="22"/>
      <c r="K298" s="22"/>
      <c r="L298" s="22"/>
      <c r="M298" s="22"/>
      <c r="N298" s="23" t="str">
        <f aca="false">IF(C298="","",SUM(J298:M298))</f>
        <v/>
      </c>
      <c r="O298" s="24" t="str">
        <f aca="false">IF(C298="","",IF(OR(D298="Lucro Real",E298="Indústria",N298&gt;500),"A",IF(OR(D298="Lucro Presumido",I298="S",N298&gt;=100),"B","C")))</f>
        <v/>
      </c>
      <c r="P298" s="21"/>
      <c r="Q298" s="24" t="str">
        <f aca="false">IF(C298="","",IF(P298&lt;&gt;"",P298,O298))</f>
        <v/>
      </c>
      <c r="R298" s="21"/>
      <c r="S298" s="21"/>
      <c r="T298" s="25"/>
      <c r="U298" s="23" t="str">
        <f aca="true">IF(T298="","",T298-TODAY())</f>
        <v/>
      </c>
      <c r="V298" s="21"/>
      <c r="W298" s="25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customFormat="false" ht="15" hidden="false" customHeight="false" outlineLevel="0" collapsed="false">
      <c r="A299" s="21"/>
      <c r="B299" s="21"/>
      <c r="C299" s="21"/>
      <c r="D299" s="21"/>
      <c r="E299" s="21"/>
      <c r="F299" s="21"/>
      <c r="G299" s="21"/>
      <c r="H299" s="21"/>
      <c r="I299" s="21"/>
      <c r="J299" s="22"/>
      <c r="K299" s="22"/>
      <c r="L299" s="22"/>
      <c r="M299" s="22"/>
      <c r="N299" s="23" t="str">
        <f aca="false">IF(C299="","",SUM(J299:M299))</f>
        <v/>
      </c>
      <c r="O299" s="24" t="str">
        <f aca="false">IF(C299="","",IF(OR(D299="Lucro Real",E299="Indústria",N299&gt;500),"A",IF(OR(D299="Lucro Presumido",I299="S",N299&gt;=100),"B","C")))</f>
        <v/>
      </c>
      <c r="P299" s="21"/>
      <c r="Q299" s="24" t="str">
        <f aca="false">IF(C299="","",IF(P299&lt;&gt;"",P299,O299))</f>
        <v/>
      </c>
      <c r="R299" s="21"/>
      <c r="S299" s="21"/>
      <c r="T299" s="25"/>
      <c r="U299" s="23" t="str">
        <f aca="true">IF(T299="","",T299-TODAY())</f>
        <v/>
      </c>
      <c r="V299" s="21"/>
      <c r="W299" s="25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customFormat="false" ht="15" hidden="false" customHeight="false" outlineLevel="0" collapsed="false">
      <c r="A300" s="21"/>
      <c r="B300" s="21"/>
      <c r="C300" s="21"/>
      <c r="D300" s="21"/>
      <c r="E300" s="21"/>
      <c r="F300" s="21"/>
      <c r="G300" s="21"/>
      <c r="H300" s="21"/>
      <c r="I300" s="21"/>
      <c r="J300" s="22"/>
      <c r="K300" s="22"/>
      <c r="L300" s="22"/>
      <c r="M300" s="22"/>
      <c r="N300" s="23" t="str">
        <f aca="false">IF(C300="","",SUM(J300:M300))</f>
        <v/>
      </c>
      <c r="O300" s="24" t="str">
        <f aca="false">IF(C300="","",IF(OR(D300="Lucro Real",E300="Indústria",N300&gt;500),"A",IF(OR(D300="Lucro Presumido",I300="S",N300&gt;=100),"B","C")))</f>
        <v/>
      </c>
      <c r="P300" s="21"/>
      <c r="Q300" s="24" t="str">
        <f aca="false">IF(C300="","",IF(P300&lt;&gt;"",P300,O300))</f>
        <v/>
      </c>
      <c r="R300" s="21"/>
      <c r="S300" s="21"/>
      <c r="T300" s="25"/>
      <c r="U300" s="23" t="str">
        <f aca="true">IF(T300="","",T300-TODAY())</f>
        <v/>
      </c>
      <c r="V300" s="21"/>
      <c r="W300" s="25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customFormat="false" ht="15" hidden="false" customHeight="false" outlineLevel="0" collapsed="false">
      <c r="A301" s="21"/>
      <c r="B301" s="21"/>
      <c r="C301" s="21"/>
      <c r="D301" s="21"/>
      <c r="E301" s="21"/>
      <c r="F301" s="21"/>
      <c r="G301" s="21"/>
      <c r="H301" s="21"/>
      <c r="I301" s="21"/>
      <c r="J301" s="22"/>
      <c r="K301" s="22"/>
      <c r="L301" s="22"/>
      <c r="M301" s="22"/>
      <c r="N301" s="23" t="str">
        <f aca="false">IF(C301="","",SUM(J301:M301))</f>
        <v/>
      </c>
      <c r="O301" s="24" t="str">
        <f aca="false">IF(C301="","",IF(OR(D301="Lucro Real",E301="Indústria",N301&gt;500),"A",IF(OR(D301="Lucro Presumido",I301="S",N301&gt;=100),"B","C")))</f>
        <v/>
      </c>
      <c r="P301" s="21"/>
      <c r="Q301" s="24" t="str">
        <f aca="false">IF(C301="","",IF(P301&lt;&gt;"",P301,O301))</f>
        <v/>
      </c>
      <c r="R301" s="21"/>
      <c r="S301" s="21"/>
      <c r="T301" s="25"/>
      <c r="U301" s="23" t="str">
        <f aca="true">IF(T301="","",T301-TODAY())</f>
        <v/>
      </c>
      <c r="V301" s="21"/>
      <c r="W301" s="25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customFormat="false" ht="15" hidden="false" customHeight="false" outlineLevel="0" collapsed="false">
      <c r="A302" s="21"/>
      <c r="B302" s="21"/>
      <c r="C302" s="21"/>
      <c r="D302" s="21"/>
      <c r="E302" s="21"/>
      <c r="F302" s="21"/>
      <c r="G302" s="21"/>
      <c r="H302" s="21"/>
      <c r="I302" s="21"/>
      <c r="J302" s="22"/>
      <c r="K302" s="22"/>
      <c r="L302" s="22"/>
      <c r="M302" s="22"/>
      <c r="N302" s="23" t="str">
        <f aca="false">IF(C302="","",SUM(J302:M302))</f>
        <v/>
      </c>
      <c r="O302" s="24" t="str">
        <f aca="false">IF(C302="","",IF(OR(D302="Lucro Real",E302="Indústria",N302&gt;500),"A",IF(OR(D302="Lucro Presumido",I302="S",N302&gt;=100),"B","C")))</f>
        <v/>
      </c>
      <c r="P302" s="21"/>
      <c r="Q302" s="24" t="str">
        <f aca="false">IF(C302="","",IF(P302&lt;&gt;"",P302,O302))</f>
        <v/>
      </c>
      <c r="R302" s="21"/>
      <c r="S302" s="21"/>
      <c r="T302" s="25"/>
      <c r="U302" s="23" t="str">
        <f aca="true">IF(T302="","",T302-TODAY())</f>
        <v/>
      </c>
      <c r="V302" s="21"/>
      <c r="W302" s="25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customFormat="false" ht="15" hidden="false" customHeight="false" outlineLevel="0" collapsed="false">
      <c r="A303" s="21"/>
      <c r="B303" s="21"/>
      <c r="C303" s="21"/>
      <c r="D303" s="21"/>
      <c r="E303" s="21"/>
      <c r="F303" s="21"/>
      <c r="G303" s="21"/>
      <c r="H303" s="21"/>
      <c r="I303" s="21"/>
      <c r="J303" s="22"/>
      <c r="K303" s="22"/>
      <c r="L303" s="22"/>
      <c r="M303" s="22"/>
      <c r="N303" s="23" t="str">
        <f aca="false">IF(C303="","",SUM(J303:M303))</f>
        <v/>
      </c>
      <c r="O303" s="24" t="str">
        <f aca="false">IF(C303="","",IF(OR(D303="Lucro Real",E303="Indústria",N303&gt;500),"A",IF(OR(D303="Lucro Presumido",I303="S",N303&gt;=100),"B","C")))</f>
        <v/>
      </c>
      <c r="P303" s="21"/>
      <c r="Q303" s="24" t="str">
        <f aca="false">IF(C303="","",IF(P303&lt;&gt;"",P303,O303))</f>
        <v/>
      </c>
      <c r="R303" s="21"/>
      <c r="S303" s="21"/>
      <c r="T303" s="25"/>
      <c r="U303" s="23" t="str">
        <f aca="true">IF(T303="","",T303-TODAY())</f>
        <v/>
      </c>
      <c r="V303" s="21"/>
      <c r="W303" s="25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customFormat="false" ht="15" hidden="false" customHeight="false" outlineLevel="0" collapsed="false">
      <c r="A304" s="21"/>
      <c r="B304" s="21"/>
      <c r="C304" s="21"/>
      <c r="D304" s="21"/>
      <c r="E304" s="21"/>
      <c r="F304" s="21"/>
      <c r="G304" s="21"/>
      <c r="H304" s="21"/>
      <c r="I304" s="21"/>
      <c r="J304" s="22"/>
      <c r="K304" s="22"/>
      <c r="L304" s="22"/>
      <c r="M304" s="22"/>
      <c r="N304" s="23" t="str">
        <f aca="false">IF(C304="","",SUM(J304:M304))</f>
        <v/>
      </c>
      <c r="O304" s="24" t="str">
        <f aca="false">IF(C304="","",IF(OR(D304="Lucro Real",E304="Indústria",N304&gt;500),"A",IF(OR(D304="Lucro Presumido",I304="S",N304&gt;=100),"B","C")))</f>
        <v/>
      </c>
      <c r="P304" s="21"/>
      <c r="Q304" s="24" t="str">
        <f aca="false">IF(C304="","",IF(P304&lt;&gt;"",P304,O304))</f>
        <v/>
      </c>
      <c r="R304" s="21"/>
      <c r="S304" s="21"/>
      <c r="T304" s="25"/>
      <c r="U304" s="23" t="str">
        <f aca="true">IF(T304="","",T304-TODAY())</f>
        <v/>
      </c>
      <c r="V304" s="21"/>
      <c r="W304" s="25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customFormat="false" ht="15" hidden="false" customHeight="false" outlineLevel="0" collapsed="false">
      <c r="A305" s="21"/>
      <c r="B305" s="21"/>
      <c r="C305" s="21"/>
      <c r="D305" s="21"/>
      <c r="E305" s="21"/>
      <c r="F305" s="21"/>
      <c r="G305" s="21"/>
      <c r="H305" s="21"/>
      <c r="I305" s="21"/>
      <c r="J305" s="22"/>
      <c r="K305" s="22"/>
      <c r="L305" s="22"/>
      <c r="M305" s="22"/>
      <c r="N305" s="23" t="str">
        <f aca="false">IF(C305="","",SUM(J305:M305))</f>
        <v/>
      </c>
      <c r="O305" s="24" t="str">
        <f aca="false">IF(C305="","",IF(OR(D305="Lucro Real",E305="Indústria",N305&gt;500),"A",IF(OR(D305="Lucro Presumido",I305="S",N305&gt;=100),"B","C")))</f>
        <v/>
      </c>
      <c r="P305" s="21"/>
      <c r="Q305" s="24" t="str">
        <f aca="false">IF(C305="","",IF(P305&lt;&gt;"",P305,O305))</f>
        <v/>
      </c>
      <c r="R305" s="21"/>
      <c r="S305" s="21"/>
      <c r="T305" s="25"/>
      <c r="U305" s="23" t="str">
        <f aca="true">IF(T305="","",T305-TODAY())</f>
        <v/>
      </c>
      <c r="V305" s="21"/>
      <c r="W305" s="25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customFormat="false" ht="15" hidden="false" customHeight="false" outlineLevel="0" collapsed="false">
      <c r="A306" s="21"/>
      <c r="B306" s="21"/>
      <c r="C306" s="21"/>
      <c r="D306" s="21"/>
      <c r="E306" s="21"/>
      <c r="F306" s="21"/>
      <c r="G306" s="21"/>
      <c r="H306" s="21"/>
      <c r="I306" s="21"/>
      <c r="J306" s="22"/>
      <c r="K306" s="22"/>
      <c r="L306" s="22"/>
      <c r="M306" s="22"/>
      <c r="N306" s="23" t="str">
        <f aca="false">IF(C306="","",SUM(J306:M306))</f>
        <v/>
      </c>
      <c r="O306" s="24" t="str">
        <f aca="false">IF(C306="","",IF(OR(D306="Lucro Real",E306="Indústria",N306&gt;500),"A",IF(OR(D306="Lucro Presumido",I306="S",N306&gt;=100),"B","C")))</f>
        <v/>
      </c>
      <c r="P306" s="21"/>
      <c r="Q306" s="24" t="str">
        <f aca="false">IF(C306="","",IF(P306&lt;&gt;"",P306,O306))</f>
        <v/>
      </c>
      <c r="R306" s="21"/>
      <c r="S306" s="21"/>
      <c r="T306" s="25"/>
      <c r="U306" s="23" t="str">
        <f aca="true">IF(T306="","",T306-TODAY())</f>
        <v/>
      </c>
      <c r="V306" s="21"/>
      <c r="W306" s="25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customFormat="false" ht="15" hidden="false" customHeight="false" outlineLevel="0" collapsed="false">
      <c r="A307" s="21"/>
      <c r="B307" s="21"/>
      <c r="C307" s="21"/>
      <c r="D307" s="21"/>
      <c r="E307" s="21"/>
      <c r="F307" s="21"/>
      <c r="G307" s="21"/>
      <c r="H307" s="21"/>
      <c r="I307" s="21"/>
      <c r="J307" s="22"/>
      <c r="K307" s="22"/>
      <c r="L307" s="22"/>
      <c r="M307" s="22"/>
      <c r="N307" s="23" t="str">
        <f aca="false">IF(C307="","",SUM(J307:M307))</f>
        <v/>
      </c>
      <c r="O307" s="24" t="str">
        <f aca="false">IF(C307="","",IF(OR(D307="Lucro Real",E307="Indústria",N307&gt;500),"A",IF(OR(D307="Lucro Presumido",I307="S",N307&gt;=100),"B","C")))</f>
        <v/>
      </c>
      <c r="P307" s="21"/>
      <c r="Q307" s="24" t="str">
        <f aca="false">IF(C307="","",IF(P307&lt;&gt;"",P307,O307))</f>
        <v/>
      </c>
      <c r="R307" s="21"/>
      <c r="S307" s="21"/>
      <c r="T307" s="25"/>
      <c r="U307" s="23" t="str">
        <f aca="true">IF(T307="","",T307-TODAY())</f>
        <v/>
      </c>
      <c r="V307" s="21"/>
      <c r="W307" s="25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customFormat="false" ht="15" hidden="false" customHeight="false" outlineLevel="0" collapsed="false">
      <c r="A308" s="21"/>
      <c r="B308" s="21"/>
      <c r="C308" s="21"/>
      <c r="D308" s="21"/>
      <c r="E308" s="21"/>
      <c r="F308" s="21"/>
      <c r="G308" s="21"/>
      <c r="H308" s="21"/>
      <c r="I308" s="21"/>
      <c r="J308" s="22"/>
      <c r="K308" s="22"/>
      <c r="L308" s="22"/>
      <c r="M308" s="22"/>
      <c r="N308" s="23" t="str">
        <f aca="false">IF(C308="","",SUM(J308:M308))</f>
        <v/>
      </c>
      <c r="O308" s="24" t="str">
        <f aca="false">IF(C308="","",IF(OR(D308="Lucro Real",E308="Indústria",N308&gt;500),"A",IF(OR(D308="Lucro Presumido",I308="S",N308&gt;=100),"B","C")))</f>
        <v/>
      </c>
      <c r="P308" s="21"/>
      <c r="Q308" s="24" t="str">
        <f aca="false">IF(C308="","",IF(P308&lt;&gt;"",P308,O308))</f>
        <v/>
      </c>
      <c r="R308" s="21"/>
      <c r="S308" s="21"/>
      <c r="T308" s="25"/>
      <c r="U308" s="23" t="str">
        <f aca="true">IF(T308="","",T308-TODAY())</f>
        <v/>
      </c>
      <c r="V308" s="21"/>
      <c r="W308" s="25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customFormat="false" ht="15" hidden="false" customHeight="false" outlineLevel="0" collapsed="false">
      <c r="A309" s="21"/>
      <c r="B309" s="21"/>
      <c r="C309" s="21"/>
      <c r="D309" s="21"/>
      <c r="E309" s="21"/>
      <c r="F309" s="21"/>
      <c r="G309" s="21"/>
      <c r="H309" s="21"/>
      <c r="I309" s="21"/>
      <c r="J309" s="22"/>
      <c r="K309" s="22"/>
      <c r="L309" s="22"/>
      <c r="M309" s="22"/>
      <c r="N309" s="23" t="str">
        <f aca="false">IF(C309="","",SUM(J309:M309))</f>
        <v/>
      </c>
      <c r="O309" s="24" t="str">
        <f aca="false">IF(C309="","",IF(OR(D309="Lucro Real",E309="Indústria",N309&gt;500),"A",IF(OR(D309="Lucro Presumido",I309="S",N309&gt;=100),"B","C")))</f>
        <v/>
      </c>
      <c r="P309" s="21"/>
      <c r="Q309" s="24" t="str">
        <f aca="false">IF(C309="","",IF(P309&lt;&gt;"",P309,O309))</f>
        <v/>
      </c>
      <c r="R309" s="21"/>
      <c r="S309" s="21"/>
      <c r="T309" s="25"/>
      <c r="U309" s="23" t="str">
        <f aca="true">IF(T309="","",T309-TODAY())</f>
        <v/>
      </c>
      <c r="V309" s="21"/>
      <c r="W309" s="25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customFormat="false" ht="15" hidden="false" customHeight="false" outlineLevel="0" collapsed="false">
      <c r="A310" s="21"/>
      <c r="B310" s="21"/>
      <c r="C310" s="21"/>
      <c r="D310" s="21"/>
      <c r="E310" s="21"/>
      <c r="F310" s="21"/>
      <c r="G310" s="21"/>
      <c r="H310" s="21"/>
      <c r="I310" s="21"/>
      <c r="J310" s="22"/>
      <c r="K310" s="22"/>
      <c r="L310" s="22"/>
      <c r="M310" s="22"/>
      <c r="N310" s="23" t="str">
        <f aca="false">IF(C310="","",SUM(J310:M310))</f>
        <v/>
      </c>
      <c r="O310" s="24" t="str">
        <f aca="false">IF(C310="","",IF(OR(D310="Lucro Real",E310="Indústria",N310&gt;500),"A",IF(OR(D310="Lucro Presumido",I310="S",N310&gt;=100),"B","C")))</f>
        <v/>
      </c>
      <c r="P310" s="21"/>
      <c r="Q310" s="24" t="str">
        <f aca="false">IF(C310="","",IF(P310&lt;&gt;"",P310,O310))</f>
        <v/>
      </c>
      <c r="R310" s="21"/>
      <c r="S310" s="21"/>
      <c r="T310" s="25"/>
      <c r="U310" s="23" t="str">
        <f aca="true">IF(T310="","",T310-TODAY())</f>
        <v/>
      </c>
      <c r="V310" s="21"/>
      <c r="W310" s="25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customFormat="false" ht="15" hidden="false" customHeight="false" outlineLevel="0" collapsed="false">
      <c r="A311" s="21"/>
      <c r="B311" s="21"/>
      <c r="C311" s="21"/>
      <c r="D311" s="21"/>
      <c r="E311" s="21"/>
      <c r="F311" s="21"/>
      <c r="G311" s="21"/>
      <c r="H311" s="21"/>
      <c r="I311" s="21"/>
      <c r="J311" s="22"/>
      <c r="K311" s="22"/>
      <c r="L311" s="22"/>
      <c r="M311" s="22"/>
      <c r="N311" s="23" t="str">
        <f aca="false">IF(C311="","",SUM(J311:M311))</f>
        <v/>
      </c>
      <c r="O311" s="24" t="str">
        <f aca="false">IF(C311="","",IF(OR(D311="Lucro Real",E311="Indústria",N311&gt;500),"A",IF(OR(D311="Lucro Presumido",I311="S",N311&gt;=100),"B","C")))</f>
        <v/>
      </c>
      <c r="P311" s="21"/>
      <c r="Q311" s="24" t="str">
        <f aca="false">IF(C311="","",IF(P311&lt;&gt;"",P311,O311))</f>
        <v/>
      </c>
      <c r="R311" s="21"/>
      <c r="S311" s="21"/>
      <c r="T311" s="25"/>
      <c r="U311" s="23" t="str">
        <f aca="true">IF(T311="","",T311-TODAY())</f>
        <v/>
      </c>
      <c r="V311" s="21"/>
      <c r="W311" s="25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customFormat="false" ht="15" hidden="false" customHeight="false" outlineLevel="0" collapsed="false">
      <c r="A312" s="21"/>
      <c r="B312" s="21"/>
      <c r="C312" s="21"/>
      <c r="D312" s="21"/>
      <c r="E312" s="21"/>
      <c r="F312" s="21"/>
      <c r="G312" s="21"/>
      <c r="H312" s="21"/>
      <c r="I312" s="21"/>
      <c r="J312" s="22"/>
      <c r="K312" s="22"/>
      <c r="L312" s="22"/>
      <c r="M312" s="22"/>
      <c r="N312" s="23" t="str">
        <f aca="false">IF(C312="","",SUM(J312:M312))</f>
        <v/>
      </c>
      <c r="O312" s="24" t="str">
        <f aca="false">IF(C312="","",IF(OR(D312="Lucro Real",E312="Indústria",N312&gt;500),"A",IF(OR(D312="Lucro Presumido",I312="S",N312&gt;=100),"B","C")))</f>
        <v/>
      </c>
      <c r="P312" s="21"/>
      <c r="Q312" s="24" t="str">
        <f aca="false">IF(C312="","",IF(P312&lt;&gt;"",P312,O312))</f>
        <v/>
      </c>
      <c r="R312" s="21"/>
      <c r="S312" s="21"/>
      <c r="T312" s="25"/>
      <c r="U312" s="23" t="str">
        <f aca="true">IF(T312="","",T312-TODAY())</f>
        <v/>
      </c>
      <c r="V312" s="21"/>
      <c r="W312" s="25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customFormat="false" ht="15" hidden="false" customHeight="false" outlineLevel="0" collapsed="false">
      <c r="A313" s="21"/>
      <c r="B313" s="21"/>
      <c r="C313" s="21"/>
      <c r="D313" s="21"/>
      <c r="E313" s="21"/>
      <c r="F313" s="21"/>
      <c r="G313" s="21"/>
      <c r="H313" s="21"/>
      <c r="I313" s="21"/>
      <c r="J313" s="22"/>
      <c r="K313" s="22"/>
      <c r="L313" s="22"/>
      <c r="M313" s="22"/>
      <c r="N313" s="23" t="str">
        <f aca="false">IF(C313="","",SUM(J313:M313))</f>
        <v/>
      </c>
      <c r="O313" s="24" t="str">
        <f aca="false">IF(C313="","",IF(OR(D313="Lucro Real",E313="Indústria",N313&gt;500),"A",IF(OR(D313="Lucro Presumido",I313="S",N313&gt;=100),"B","C")))</f>
        <v/>
      </c>
      <c r="P313" s="21"/>
      <c r="Q313" s="24" t="str">
        <f aca="false">IF(C313="","",IF(P313&lt;&gt;"",P313,O313))</f>
        <v/>
      </c>
      <c r="R313" s="21"/>
      <c r="S313" s="21"/>
      <c r="T313" s="25"/>
      <c r="U313" s="23" t="str">
        <f aca="true">IF(T313="","",T313-TODAY())</f>
        <v/>
      </c>
      <c r="V313" s="21"/>
      <c r="W313" s="25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customFormat="false" ht="15" hidden="false" customHeight="false" outlineLevel="0" collapsed="false">
      <c r="A314" s="21"/>
      <c r="B314" s="21"/>
      <c r="C314" s="21"/>
      <c r="D314" s="21"/>
      <c r="E314" s="21"/>
      <c r="F314" s="21"/>
      <c r="G314" s="21"/>
      <c r="H314" s="21"/>
      <c r="I314" s="21"/>
      <c r="J314" s="22"/>
      <c r="K314" s="22"/>
      <c r="L314" s="22"/>
      <c r="M314" s="22"/>
      <c r="N314" s="23" t="str">
        <f aca="false">IF(C314="","",SUM(J314:M314))</f>
        <v/>
      </c>
      <c r="O314" s="24" t="str">
        <f aca="false">IF(C314="","",IF(OR(D314="Lucro Real",E314="Indústria",N314&gt;500),"A",IF(OR(D314="Lucro Presumido",I314="S",N314&gt;=100),"B","C")))</f>
        <v/>
      </c>
      <c r="P314" s="21"/>
      <c r="Q314" s="24" t="str">
        <f aca="false">IF(C314="","",IF(P314&lt;&gt;"",P314,O314))</f>
        <v/>
      </c>
      <c r="R314" s="21"/>
      <c r="S314" s="21"/>
      <c r="T314" s="25"/>
      <c r="U314" s="23" t="str">
        <f aca="true">IF(T314="","",T314-TODAY())</f>
        <v/>
      </c>
      <c r="V314" s="21"/>
      <c r="W314" s="25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customFormat="false" ht="15" hidden="false" customHeight="false" outlineLevel="0" collapsed="false">
      <c r="A315" s="21"/>
      <c r="B315" s="21"/>
      <c r="C315" s="21"/>
      <c r="D315" s="21"/>
      <c r="E315" s="21"/>
      <c r="F315" s="21"/>
      <c r="G315" s="21"/>
      <c r="H315" s="21"/>
      <c r="I315" s="21"/>
      <c r="J315" s="22"/>
      <c r="K315" s="22"/>
      <c r="L315" s="22"/>
      <c r="M315" s="22"/>
      <c r="N315" s="23" t="str">
        <f aca="false">IF(C315="","",SUM(J315:M315))</f>
        <v/>
      </c>
      <c r="O315" s="24" t="str">
        <f aca="false">IF(C315="","",IF(OR(D315="Lucro Real",E315="Indústria",N315&gt;500),"A",IF(OR(D315="Lucro Presumido",I315="S",N315&gt;=100),"B","C")))</f>
        <v/>
      </c>
      <c r="P315" s="21"/>
      <c r="Q315" s="24" t="str">
        <f aca="false">IF(C315="","",IF(P315&lt;&gt;"",P315,O315))</f>
        <v/>
      </c>
      <c r="R315" s="21"/>
      <c r="S315" s="21"/>
      <c r="T315" s="25"/>
      <c r="U315" s="23" t="str">
        <f aca="true">IF(T315="","",T315-TODAY())</f>
        <v/>
      </c>
      <c r="V315" s="21"/>
      <c r="W315" s="25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customFormat="false" ht="15" hidden="false" customHeight="false" outlineLevel="0" collapsed="false">
      <c r="A316" s="21"/>
      <c r="B316" s="21"/>
      <c r="C316" s="21"/>
      <c r="D316" s="21"/>
      <c r="E316" s="21"/>
      <c r="F316" s="21"/>
      <c r="G316" s="21"/>
      <c r="H316" s="21"/>
      <c r="I316" s="21"/>
      <c r="J316" s="22"/>
      <c r="K316" s="22"/>
      <c r="L316" s="22"/>
      <c r="M316" s="22"/>
      <c r="N316" s="23" t="str">
        <f aca="false">IF(C316="","",SUM(J316:M316))</f>
        <v/>
      </c>
      <c r="O316" s="24" t="str">
        <f aca="false">IF(C316="","",IF(OR(D316="Lucro Real",E316="Indústria",N316&gt;500),"A",IF(OR(D316="Lucro Presumido",I316="S",N316&gt;=100),"B","C")))</f>
        <v/>
      </c>
      <c r="P316" s="21"/>
      <c r="Q316" s="24" t="str">
        <f aca="false">IF(C316="","",IF(P316&lt;&gt;"",P316,O316))</f>
        <v/>
      </c>
      <c r="R316" s="21"/>
      <c r="S316" s="21"/>
      <c r="T316" s="25"/>
      <c r="U316" s="23" t="str">
        <f aca="true">IF(T316="","",T316-TODAY())</f>
        <v/>
      </c>
      <c r="V316" s="21"/>
      <c r="W316" s="25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customFormat="false" ht="15" hidden="false" customHeight="false" outlineLevel="0" collapsed="false">
      <c r="A317" s="21"/>
      <c r="B317" s="21"/>
      <c r="C317" s="21"/>
      <c r="D317" s="21"/>
      <c r="E317" s="21"/>
      <c r="F317" s="21"/>
      <c r="G317" s="21"/>
      <c r="H317" s="21"/>
      <c r="I317" s="21"/>
      <c r="J317" s="22"/>
      <c r="K317" s="22"/>
      <c r="L317" s="22"/>
      <c r="M317" s="22"/>
      <c r="N317" s="23" t="str">
        <f aca="false">IF(C317="","",SUM(J317:M317))</f>
        <v/>
      </c>
      <c r="O317" s="24" t="str">
        <f aca="false">IF(C317="","",IF(OR(D317="Lucro Real",E317="Indústria",N317&gt;500),"A",IF(OR(D317="Lucro Presumido",I317="S",N317&gt;=100),"B","C")))</f>
        <v/>
      </c>
      <c r="P317" s="21"/>
      <c r="Q317" s="24" t="str">
        <f aca="false">IF(C317="","",IF(P317&lt;&gt;"",P317,O317))</f>
        <v/>
      </c>
      <c r="R317" s="21"/>
      <c r="S317" s="21"/>
      <c r="T317" s="25"/>
      <c r="U317" s="23" t="str">
        <f aca="true">IF(T317="","",T317-TODAY())</f>
        <v/>
      </c>
      <c r="V317" s="21"/>
      <c r="W317" s="25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customFormat="false" ht="15" hidden="false" customHeight="false" outlineLevel="0" collapsed="false">
      <c r="A318" s="21"/>
      <c r="B318" s="21"/>
      <c r="C318" s="21"/>
      <c r="D318" s="21"/>
      <c r="E318" s="21"/>
      <c r="F318" s="21"/>
      <c r="G318" s="21"/>
      <c r="H318" s="21"/>
      <c r="I318" s="21"/>
      <c r="J318" s="22"/>
      <c r="K318" s="22"/>
      <c r="L318" s="22"/>
      <c r="M318" s="22"/>
      <c r="N318" s="23" t="str">
        <f aca="false">IF(C318="","",SUM(J318:M318))</f>
        <v/>
      </c>
      <c r="O318" s="24" t="str">
        <f aca="false">IF(C318="","",IF(OR(D318="Lucro Real",E318="Indústria",N318&gt;500),"A",IF(OR(D318="Lucro Presumido",I318="S",N318&gt;=100),"B","C")))</f>
        <v/>
      </c>
      <c r="P318" s="21"/>
      <c r="Q318" s="24" t="str">
        <f aca="false">IF(C318="","",IF(P318&lt;&gt;"",P318,O318))</f>
        <v/>
      </c>
      <c r="R318" s="21"/>
      <c r="S318" s="21"/>
      <c r="T318" s="25"/>
      <c r="U318" s="23" t="str">
        <f aca="true">IF(T318="","",T318-TODAY())</f>
        <v/>
      </c>
      <c r="V318" s="21"/>
      <c r="W318" s="25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customFormat="false" ht="15" hidden="false" customHeight="false" outlineLevel="0" collapsed="false">
      <c r="A319" s="21"/>
      <c r="B319" s="21"/>
      <c r="C319" s="21"/>
      <c r="D319" s="21"/>
      <c r="E319" s="21"/>
      <c r="F319" s="21"/>
      <c r="G319" s="21"/>
      <c r="H319" s="21"/>
      <c r="I319" s="21"/>
      <c r="J319" s="22"/>
      <c r="K319" s="22"/>
      <c r="L319" s="22"/>
      <c r="M319" s="22"/>
      <c r="N319" s="23" t="str">
        <f aca="false">IF(C319="","",SUM(J319:M319))</f>
        <v/>
      </c>
      <c r="O319" s="24" t="str">
        <f aca="false">IF(C319="","",IF(OR(D319="Lucro Real",E319="Indústria",N319&gt;500),"A",IF(OR(D319="Lucro Presumido",I319="S",N319&gt;=100),"B","C")))</f>
        <v/>
      </c>
      <c r="P319" s="21"/>
      <c r="Q319" s="24" t="str">
        <f aca="false">IF(C319="","",IF(P319&lt;&gt;"",P319,O319))</f>
        <v/>
      </c>
      <c r="R319" s="21"/>
      <c r="S319" s="21"/>
      <c r="T319" s="25"/>
      <c r="U319" s="23" t="str">
        <f aca="true">IF(T319="","",T319-TODAY())</f>
        <v/>
      </c>
      <c r="V319" s="21"/>
      <c r="W319" s="25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customFormat="false" ht="15" hidden="false" customHeight="false" outlineLevel="0" collapsed="false">
      <c r="A320" s="21"/>
      <c r="B320" s="21"/>
      <c r="C320" s="21"/>
      <c r="D320" s="21"/>
      <c r="E320" s="21"/>
      <c r="F320" s="21"/>
      <c r="G320" s="21"/>
      <c r="H320" s="21"/>
      <c r="I320" s="21"/>
      <c r="J320" s="22"/>
      <c r="K320" s="22"/>
      <c r="L320" s="22"/>
      <c r="M320" s="22"/>
      <c r="N320" s="23" t="str">
        <f aca="false">IF(C320="","",SUM(J320:M320))</f>
        <v/>
      </c>
      <c r="O320" s="24" t="str">
        <f aca="false">IF(C320="","",IF(OR(D320="Lucro Real",E320="Indústria",N320&gt;500),"A",IF(OR(D320="Lucro Presumido",I320="S",N320&gt;=100),"B","C")))</f>
        <v/>
      </c>
      <c r="P320" s="21"/>
      <c r="Q320" s="24" t="str">
        <f aca="false">IF(C320="","",IF(P320&lt;&gt;"",P320,O320))</f>
        <v/>
      </c>
      <c r="R320" s="21"/>
      <c r="S320" s="21"/>
      <c r="T320" s="25"/>
      <c r="U320" s="23" t="str">
        <f aca="true">IF(T320="","",T320-TODAY())</f>
        <v/>
      </c>
      <c r="V320" s="21"/>
      <c r="W320" s="25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customFormat="false" ht="15" hidden="false" customHeight="false" outlineLevel="0" collapsed="false">
      <c r="A321" s="21"/>
      <c r="B321" s="21"/>
      <c r="C321" s="21"/>
      <c r="D321" s="21"/>
      <c r="E321" s="21"/>
      <c r="F321" s="21"/>
      <c r="G321" s="21"/>
      <c r="H321" s="21"/>
      <c r="I321" s="21"/>
      <c r="J321" s="22"/>
      <c r="K321" s="22"/>
      <c r="L321" s="22"/>
      <c r="M321" s="22"/>
      <c r="N321" s="23" t="str">
        <f aca="false">IF(C321="","",SUM(J321:M321))</f>
        <v/>
      </c>
      <c r="O321" s="24" t="str">
        <f aca="false">IF(C321="","",IF(OR(D321="Lucro Real",E321="Indústria",N321&gt;500),"A",IF(OR(D321="Lucro Presumido",I321="S",N321&gt;=100),"B","C")))</f>
        <v/>
      </c>
      <c r="P321" s="21"/>
      <c r="Q321" s="24" t="str">
        <f aca="false">IF(C321="","",IF(P321&lt;&gt;"",P321,O321))</f>
        <v/>
      </c>
      <c r="R321" s="21"/>
      <c r="S321" s="21"/>
      <c r="T321" s="25"/>
      <c r="U321" s="23" t="str">
        <f aca="true">IF(T321="","",T321-TODAY())</f>
        <v/>
      </c>
      <c r="V321" s="21"/>
      <c r="W321" s="25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customFormat="false" ht="15" hidden="false" customHeight="false" outlineLevel="0" collapsed="false">
      <c r="A322" s="21"/>
      <c r="B322" s="21"/>
      <c r="C322" s="21"/>
      <c r="D322" s="21"/>
      <c r="E322" s="21"/>
      <c r="F322" s="21"/>
      <c r="G322" s="21"/>
      <c r="H322" s="21"/>
      <c r="I322" s="21"/>
      <c r="J322" s="22"/>
      <c r="K322" s="22"/>
      <c r="L322" s="22"/>
      <c r="M322" s="22"/>
      <c r="N322" s="23" t="str">
        <f aca="false">IF(C322="","",SUM(J322:M322))</f>
        <v/>
      </c>
      <c r="O322" s="24" t="str">
        <f aca="false">IF(C322="","",IF(OR(D322="Lucro Real",E322="Indústria",N322&gt;500),"A",IF(OR(D322="Lucro Presumido",I322="S",N322&gt;=100),"B","C")))</f>
        <v/>
      </c>
      <c r="P322" s="21"/>
      <c r="Q322" s="24" t="str">
        <f aca="false">IF(C322="","",IF(P322&lt;&gt;"",P322,O322))</f>
        <v/>
      </c>
      <c r="R322" s="21"/>
      <c r="S322" s="21"/>
      <c r="T322" s="25"/>
      <c r="U322" s="23" t="str">
        <f aca="true">IF(T322="","",T322-TODAY())</f>
        <v/>
      </c>
      <c r="V322" s="21"/>
      <c r="W322" s="25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customFormat="false" ht="15" hidden="false" customHeight="false" outlineLevel="0" collapsed="false">
      <c r="A323" s="21"/>
      <c r="B323" s="21"/>
      <c r="C323" s="21"/>
      <c r="D323" s="21"/>
      <c r="E323" s="21"/>
      <c r="F323" s="21"/>
      <c r="G323" s="21"/>
      <c r="H323" s="21"/>
      <c r="I323" s="21"/>
      <c r="J323" s="22"/>
      <c r="K323" s="22"/>
      <c r="L323" s="22"/>
      <c r="M323" s="22"/>
      <c r="N323" s="23" t="str">
        <f aca="false">IF(C323="","",SUM(J323:M323))</f>
        <v/>
      </c>
      <c r="O323" s="24" t="str">
        <f aca="false">IF(C323="","",IF(OR(D323="Lucro Real",E323="Indústria",N323&gt;500),"A",IF(OR(D323="Lucro Presumido",I323="S",N323&gt;=100),"B","C")))</f>
        <v/>
      </c>
      <c r="P323" s="21"/>
      <c r="Q323" s="24" t="str">
        <f aca="false">IF(C323="","",IF(P323&lt;&gt;"",P323,O323))</f>
        <v/>
      </c>
      <c r="R323" s="21"/>
      <c r="S323" s="21"/>
      <c r="T323" s="25"/>
      <c r="U323" s="23" t="str">
        <f aca="true">IF(T323="","",T323-TODAY())</f>
        <v/>
      </c>
      <c r="V323" s="21"/>
      <c r="W323" s="25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customFormat="false" ht="15" hidden="false" customHeight="false" outlineLevel="0" collapsed="false">
      <c r="A324" s="21"/>
      <c r="B324" s="21"/>
      <c r="C324" s="21"/>
      <c r="D324" s="21"/>
      <c r="E324" s="21"/>
      <c r="F324" s="21"/>
      <c r="G324" s="21"/>
      <c r="H324" s="21"/>
      <c r="I324" s="21"/>
      <c r="J324" s="22"/>
      <c r="K324" s="22"/>
      <c r="L324" s="22"/>
      <c r="M324" s="22"/>
      <c r="N324" s="23" t="str">
        <f aca="false">IF(C324="","",SUM(J324:M324))</f>
        <v/>
      </c>
      <c r="O324" s="24" t="str">
        <f aca="false">IF(C324="","",IF(OR(D324="Lucro Real",E324="Indústria",N324&gt;500),"A",IF(OR(D324="Lucro Presumido",I324="S",N324&gt;=100),"B","C")))</f>
        <v/>
      </c>
      <c r="P324" s="21"/>
      <c r="Q324" s="24" t="str">
        <f aca="false">IF(C324="","",IF(P324&lt;&gt;"",P324,O324))</f>
        <v/>
      </c>
      <c r="R324" s="21"/>
      <c r="S324" s="21"/>
      <c r="T324" s="25"/>
      <c r="U324" s="23" t="str">
        <f aca="true">IF(T324="","",T324-TODAY())</f>
        <v/>
      </c>
      <c r="V324" s="21"/>
      <c r="W324" s="25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customFormat="false" ht="15" hidden="false" customHeight="false" outlineLevel="0" collapsed="false">
      <c r="A325" s="21"/>
      <c r="B325" s="21"/>
      <c r="C325" s="21"/>
      <c r="D325" s="21"/>
      <c r="E325" s="21"/>
      <c r="F325" s="21"/>
      <c r="G325" s="21"/>
      <c r="H325" s="21"/>
      <c r="I325" s="21"/>
      <c r="J325" s="22"/>
      <c r="K325" s="22"/>
      <c r="L325" s="22"/>
      <c r="M325" s="22"/>
      <c r="N325" s="23" t="str">
        <f aca="false">IF(C325="","",SUM(J325:M325))</f>
        <v/>
      </c>
      <c r="O325" s="24" t="str">
        <f aca="false">IF(C325="","",IF(OR(D325="Lucro Real",E325="Indústria",N325&gt;500),"A",IF(OR(D325="Lucro Presumido",I325="S",N325&gt;=100),"B","C")))</f>
        <v/>
      </c>
      <c r="P325" s="21"/>
      <c r="Q325" s="24" t="str">
        <f aca="false">IF(C325="","",IF(P325&lt;&gt;"",P325,O325))</f>
        <v/>
      </c>
      <c r="R325" s="21"/>
      <c r="S325" s="21"/>
      <c r="T325" s="25"/>
      <c r="U325" s="23" t="str">
        <f aca="true">IF(T325="","",T325-TODAY())</f>
        <v/>
      </c>
      <c r="V325" s="21"/>
      <c r="W325" s="25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customFormat="false" ht="15" hidden="false" customHeight="false" outlineLevel="0" collapsed="false">
      <c r="A326" s="21"/>
      <c r="B326" s="21"/>
      <c r="C326" s="21"/>
      <c r="D326" s="21"/>
      <c r="E326" s="21"/>
      <c r="F326" s="21"/>
      <c r="G326" s="21"/>
      <c r="H326" s="21"/>
      <c r="I326" s="21"/>
      <c r="J326" s="22"/>
      <c r="K326" s="22"/>
      <c r="L326" s="22"/>
      <c r="M326" s="22"/>
      <c r="N326" s="23" t="str">
        <f aca="false">IF(C326="","",SUM(J326:M326))</f>
        <v/>
      </c>
      <c r="O326" s="24" t="str">
        <f aca="false">IF(C326="","",IF(OR(D326="Lucro Real",E326="Indústria",N326&gt;500),"A",IF(OR(D326="Lucro Presumido",I326="S",N326&gt;=100),"B","C")))</f>
        <v/>
      </c>
      <c r="P326" s="21"/>
      <c r="Q326" s="24" t="str">
        <f aca="false">IF(C326="","",IF(P326&lt;&gt;"",P326,O326))</f>
        <v/>
      </c>
      <c r="R326" s="21"/>
      <c r="S326" s="21"/>
      <c r="T326" s="25"/>
      <c r="U326" s="23" t="str">
        <f aca="true">IF(T326="","",T326-TODAY())</f>
        <v/>
      </c>
      <c r="V326" s="21"/>
      <c r="W326" s="25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customFormat="false" ht="15" hidden="false" customHeight="false" outlineLevel="0" collapsed="false">
      <c r="A327" s="21"/>
      <c r="B327" s="21"/>
      <c r="C327" s="21"/>
      <c r="D327" s="21"/>
      <c r="E327" s="21"/>
      <c r="F327" s="21"/>
      <c r="G327" s="21"/>
      <c r="H327" s="21"/>
      <c r="I327" s="21"/>
      <c r="J327" s="22"/>
      <c r="K327" s="22"/>
      <c r="L327" s="22"/>
      <c r="M327" s="22"/>
      <c r="N327" s="23" t="str">
        <f aca="false">IF(C327="","",SUM(J327:M327))</f>
        <v/>
      </c>
      <c r="O327" s="24" t="str">
        <f aca="false">IF(C327="","",IF(OR(D327="Lucro Real",E327="Indústria",N327&gt;500),"A",IF(OR(D327="Lucro Presumido",I327="S",N327&gt;=100),"B","C")))</f>
        <v/>
      </c>
      <c r="P327" s="21"/>
      <c r="Q327" s="24" t="str">
        <f aca="false">IF(C327="","",IF(P327&lt;&gt;"",P327,O327))</f>
        <v/>
      </c>
      <c r="R327" s="21"/>
      <c r="S327" s="21"/>
      <c r="T327" s="25"/>
      <c r="U327" s="23" t="str">
        <f aca="true">IF(T327="","",T327-TODAY())</f>
        <v/>
      </c>
      <c r="V327" s="21"/>
      <c r="W327" s="25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customFormat="false" ht="15" hidden="false" customHeight="false" outlineLevel="0" collapsed="false">
      <c r="A328" s="21"/>
      <c r="B328" s="21"/>
      <c r="C328" s="21"/>
      <c r="D328" s="21"/>
      <c r="E328" s="21"/>
      <c r="F328" s="21"/>
      <c r="G328" s="21"/>
      <c r="H328" s="21"/>
      <c r="I328" s="21"/>
      <c r="J328" s="22"/>
      <c r="K328" s="22"/>
      <c r="L328" s="22"/>
      <c r="M328" s="22"/>
      <c r="N328" s="23" t="str">
        <f aca="false">IF(C328="","",SUM(J328:M328))</f>
        <v/>
      </c>
      <c r="O328" s="24" t="str">
        <f aca="false">IF(C328="","",IF(OR(D328="Lucro Real",E328="Indústria",N328&gt;500),"A",IF(OR(D328="Lucro Presumido",I328="S",N328&gt;=100),"B","C")))</f>
        <v/>
      </c>
      <c r="P328" s="21"/>
      <c r="Q328" s="24" t="str">
        <f aca="false">IF(C328="","",IF(P328&lt;&gt;"",P328,O328))</f>
        <v/>
      </c>
      <c r="R328" s="21"/>
      <c r="S328" s="21"/>
      <c r="T328" s="25"/>
      <c r="U328" s="23" t="str">
        <f aca="true">IF(T328="","",T328-TODAY())</f>
        <v/>
      </c>
      <c r="V328" s="21"/>
      <c r="W328" s="25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customFormat="false" ht="15" hidden="false" customHeight="false" outlineLevel="0" collapsed="false">
      <c r="A329" s="21"/>
      <c r="B329" s="21"/>
      <c r="C329" s="21"/>
      <c r="D329" s="21"/>
      <c r="E329" s="21"/>
      <c r="F329" s="21"/>
      <c r="G329" s="21"/>
      <c r="H329" s="21"/>
      <c r="I329" s="21"/>
      <c r="J329" s="22"/>
      <c r="K329" s="22"/>
      <c r="L329" s="22"/>
      <c r="M329" s="22"/>
      <c r="N329" s="23" t="str">
        <f aca="false">IF(C329="","",SUM(J329:M329))</f>
        <v/>
      </c>
      <c r="O329" s="24" t="str">
        <f aca="false">IF(C329="","",IF(OR(D329="Lucro Real",E329="Indústria",N329&gt;500),"A",IF(OR(D329="Lucro Presumido",I329="S",N329&gt;=100),"B","C")))</f>
        <v/>
      </c>
      <c r="P329" s="21"/>
      <c r="Q329" s="24" t="str">
        <f aca="false">IF(C329="","",IF(P329&lt;&gt;"",P329,O329))</f>
        <v/>
      </c>
      <c r="R329" s="21"/>
      <c r="S329" s="21"/>
      <c r="T329" s="25"/>
      <c r="U329" s="23" t="str">
        <f aca="true">IF(T329="","",T329-TODAY())</f>
        <v/>
      </c>
      <c r="V329" s="21"/>
      <c r="W329" s="25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customFormat="false" ht="15" hidden="false" customHeight="false" outlineLevel="0" collapsed="false">
      <c r="A330" s="21"/>
      <c r="B330" s="21"/>
      <c r="C330" s="21"/>
      <c r="D330" s="21"/>
      <c r="E330" s="21"/>
      <c r="F330" s="21"/>
      <c r="G330" s="21"/>
      <c r="H330" s="21"/>
      <c r="I330" s="21"/>
      <c r="J330" s="22"/>
      <c r="K330" s="22"/>
      <c r="L330" s="22"/>
      <c r="M330" s="22"/>
      <c r="N330" s="23" t="str">
        <f aca="false">IF(C330="","",SUM(J330:M330))</f>
        <v/>
      </c>
      <c r="O330" s="24" t="str">
        <f aca="false">IF(C330="","",IF(OR(D330="Lucro Real",E330="Indústria",N330&gt;500),"A",IF(OR(D330="Lucro Presumido",I330="S",N330&gt;=100),"B","C")))</f>
        <v/>
      </c>
      <c r="P330" s="21"/>
      <c r="Q330" s="24" t="str">
        <f aca="false">IF(C330="","",IF(P330&lt;&gt;"",P330,O330))</f>
        <v/>
      </c>
      <c r="R330" s="21"/>
      <c r="S330" s="21"/>
      <c r="T330" s="25"/>
      <c r="U330" s="23" t="str">
        <f aca="true">IF(T330="","",T330-TODAY())</f>
        <v/>
      </c>
      <c r="V330" s="21"/>
      <c r="W330" s="25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customFormat="false" ht="15" hidden="false" customHeight="false" outlineLevel="0" collapsed="false">
      <c r="A331" s="21"/>
      <c r="B331" s="21"/>
      <c r="C331" s="21"/>
      <c r="D331" s="21"/>
      <c r="E331" s="21"/>
      <c r="F331" s="21"/>
      <c r="G331" s="21"/>
      <c r="H331" s="21"/>
      <c r="I331" s="21"/>
      <c r="J331" s="22"/>
      <c r="K331" s="22"/>
      <c r="L331" s="22"/>
      <c r="M331" s="22"/>
      <c r="N331" s="23" t="str">
        <f aca="false">IF(C331="","",SUM(J331:M331))</f>
        <v/>
      </c>
      <c r="O331" s="24" t="str">
        <f aca="false">IF(C331="","",IF(OR(D331="Lucro Real",E331="Indústria",N331&gt;500),"A",IF(OR(D331="Lucro Presumido",I331="S",N331&gt;=100),"B","C")))</f>
        <v/>
      </c>
      <c r="P331" s="21"/>
      <c r="Q331" s="24" t="str">
        <f aca="false">IF(C331="","",IF(P331&lt;&gt;"",P331,O331))</f>
        <v/>
      </c>
      <c r="R331" s="21"/>
      <c r="S331" s="21"/>
      <c r="T331" s="25"/>
      <c r="U331" s="23" t="str">
        <f aca="true">IF(T331="","",T331-TODAY())</f>
        <v/>
      </c>
      <c r="V331" s="21"/>
      <c r="W331" s="25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customFormat="false" ht="15" hidden="false" customHeight="false" outlineLevel="0" collapsed="false">
      <c r="A332" s="21"/>
      <c r="B332" s="21"/>
      <c r="C332" s="21"/>
      <c r="D332" s="21"/>
      <c r="E332" s="21"/>
      <c r="F332" s="21"/>
      <c r="G332" s="21"/>
      <c r="H332" s="21"/>
      <c r="I332" s="21"/>
      <c r="J332" s="22"/>
      <c r="K332" s="22"/>
      <c r="L332" s="22"/>
      <c r="M332" s="22"/>
      <c r="N332" s="23" t="str">
        <f aca="false">IF(C332="","",SUM(J332:M332))</f>
        <v/>
      </c>
      <c r="O332" s="24" t="str">
        <f aca="false">IF(C332="","",IF(OR(D332="Lucro Real",E332="Indústria",N332&gt;500),"A",IF(OR(D332="Lucro Presumido",I332="S",N332&gt;=100),"B","C")))</f>
        <v/>
      </c>
      <c r="P332" s="21"/>
      <c r="Q332" s="24" t="str">
        <f aca="false">IF(C332="","",IF(P332&lt;&gt;"",P332,O332))</f>
        <v/>
      </c>
      <c r="R332" s="21"/>
      <c r="S332" s="21"/>
      <c r="T332" s="25"/>
      <c r="U332" s="23" t="str">
        <f aca="true">IF(T332="","",T332-TODAY())</f>
        <v/>
      </c>
      <c r="V332" s="21"/>
      <c r="W332" s="25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customFormat="false" ht="15" hidden="false" customHeight="false" outlineLevel="0" collapsed="false">
      <c r="A333" s="21"/>
      <c r="B333" s="21"/>
      <c r="C333" s="21"/>
      <c r="D333" s="21"/>
      <c r="E333" s="21"/>
      <c r="F333" s="21"/>
      <c r="G333" s="21"/>
      <c r="H333" s="21"/>
      <c r="I333" s="21"/>
      <c r="J333" s="22"/>
      <c r="K333" s="22"/>
      <c r="L333" s="22"/>
      <c r="M333" s="22"/>
      <c r="N333" s="23" t="str">
        <f aca="false">IF(C333="","",SUM(J333:M333))</f>
        <v/>
      </c>
      <c r="O333" s="24" t="str">
        <f aca="false">IF(C333="","",IF(OR(D333="Lucro Real",E333="Indústria",N333&gt;500),"A",IF(OR(D333="Lucro Presumido",I333="S",N333&gt;=100),"B","C")))</f>
        <v/>
      </c>
      <c r="P333" s="21"/>
      <c r="Q333" s="24" t="str">
        <f aca="false">IF(C333="","",IF(P333&lt;&gt;"",P333,O333))</f>
        <v/>
      </c>
      <c r="R333" s="21"/>
      <c r="S333" s="21"/>
      <c r="T333" s="25"/>
      <c r="U333" s="23" t="str">
        <f aca="true">IF(T333="","",T333-TODAY())</f>
        <v/>
      </c>
      <c r="V333" s="21"/>
      <c r="W333" s="25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customFormat="false" ht="15" hidden="false" customHeight="false" outlineLevel="0" collapsed="false">
      <c r="A334" s="21"/>
      <c r="B334" s="21"/>
      <c r="C334" s="21"/>
      <c r="D334" s="21"/>
      <c r="E334" s="21"/>
      <c r="F334" s="21"/>
      <c r="G334" s="21"/>
      <c r="H334" s="21"/>
      <c r="I334" s="21"/>
      <c r="J334" s="22"/>
      <c r="K334" s="22"/>
      <c r="L334" s="22"/>
      <c r="M334" s="22"/>
      <c r="N334" s="23" t="str">
        <f aca="false">IF(C334="","",SUM(J334:M334))</f>
        <v/>
      </c>
      <c r="O334" s="24" t="str">
        <f aca="false">IF(C334="","",IF(OR(D334="Lucro Real",E334="Indústria",N334&gt;500),"A",IF(OR(D334="Lucro Presumido",I334="S",N334&gt;=100),"B","C")))</f>
        <v/>
      </c>
      <c r="P334" s="21"/>
      <c r="Q334" s="24" t="str">
        <f aca="false">IF(C334="","",IF(P334&lt;&gt;"",P334,O334))</f>
        <v/>
      </c>
      <c r="R334" s="21"/>
      <c r="S334" s="21"/>
      <c r="T334" s="25"/>
      <c r="U334" s="23" t="str">
        <f aca="true">IF(T334="","",T334-TODAY())</f>
        <v/>
      </c>
      <c r="V334" s="21"/>
      <c r="W334" s="25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customFormat="false" ht="15" hidden="false" customHeight="false" outlineLevel="0" collapsed="false">
      <c r="A335" s="21"/>
      <c r="B335" s="21"/>
      <c r="C335" s="21"/>
      <c r="D335" s="21"/>
      <c r="E335" s="21"/>
      <c r="F335" s="21"/>
      <c r="G335" s="21"/>
      <c r="H335" s="21"/>
      <c r="I335" s="21"/>
      <c r="J335" s="22"/>
      <c r="K335" s="22"/>
      <c r="L335" s="22"/>
      <c r="M335" s="22"/>
      <c r="N335" s="23" t="str">
        <f aca="false">IF(C335="","",SUM(J335:M335))</f>
        <v/>
      </c>
      <c r="O335" s="24" t="str">
        <f aca="false">IF(C335="","",IF(OR(D335="Lucro Real",E335="Indústria",N335&gt;500),"A",IF(OR(D335="Lucro Presumido",I335="S",N335&gt;=100),"B","C")))</f>
        <v/>
      </c>
      <c r="P335" s="21"/>
      <c r="Q335" s="24" t="str">
        <f aca="false">IF(C335="","",IF(P335&lt;&gt;"",P335,O335))</f>
        <v/>
      </c>
      <c r="R335" s="21"/>
      <c r="S335" s="21"/>
      <c r="T335" s="25"/>
      <c r="U335" s="23" t="str">
        <f aca="true">IF(T335="","",T335-TODAY())</f>
        <v/>
      </c>
      <c r="V335" s="21"/>
      <c r="W335" s="25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customFormat="false" ht="15" hidden="false" customHeight="false" outlineLevel="0" collapsed="false">
      <c r="A336" s="21"/>
      <c r="B336" s="21"/>
      <c r="C336" s="21"/>
      <c r="D336" s="21"/>
      <c r="E336" s="21"/>
      <c r="F336" s="21"/>
      <c r="G336" s="21"/>
      <c r="H336" s="21"/>
      <c r="I336" s="21"/>
      <c r="J336" s="22"/>
      <c r="K336" s="22"/>
      <c r="L336" s="22"/>
      <c r="M336" s="22"/>
      <c r="N336" s="23" t="str">
        <f aca="false">IF(C336="","",SUM(J336:M336))</f>
        <v/>
      </c>
      <c r="O336" s="24" t="str">
        <f aca="false">IF(C336="","",IF(OR(D336="Lucro Real",E336="Indústria",N336&gt;500),"A",IF(OR(D336="Lucro Presumido",I336="S",N336&gt;=100),"B","C")))</f>
        <v/>
      </c>
      <c r="P336" s="21"/>
      <c r="Q336" s="24" t="str">
        <f aca="false">IF(C336="","",IF(P336&lt;&gt;"",P336,O336))</f>
        <v/>
      </c>
      <c r="R336" s="21"/>
      <c r="S336" s="21"/>
      <c r="T336" s="25"/>
      <c r="U336" s="23" t="str">
        <f aca="true">IF(T336="","",T336-TODAY())</f>
        <v/>
      </c>
      <c r="V336" s="21"/>
      <c r="W336" s="25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customFormat="false" ht="15" hidden="false" customHeight="false" outlineLevel="0" collapsed="false">
      <c r="A337" s="21"/>
      <c r="B337" s="21"/>
      <c r="C337" s="21"/>
      <c r="D337" s="21"/>
      <c r="E337" s="21"/>
      <c r="F337" s="21"/>
      <c r="G337" s="21"/>
      <c r="H337" s="21"/>
      <c r="I337" s="21"/>
      <c r="J337" s="22"/>
      <c r="K337" s="22"/>
      <c r="L337" s="22"/>
      <c r="M337" s="22"/>
      <c r="N337" s="23" t="str">
        <f aca="false">IF(C337="","",SUM(J337:M337))</f>
        <v/>
      </c>
      <c r="O337" s="24" t="str">
        <f aca="false">IF(C337="","",IF(OR(D337="Lucro Real",E337="Indústria",N337&gt;500),"A",IF(OR(D337="Lucro Presumido",I337="S",N337&gt;=100),"B","C")))</f>
        <v/>
      </c>
      <c r="P337" s="21"/>
      <c r="Q337" s="24" t="str">
        <f aca="false">IF(C337="","",IF(P337&lt;&gt;"",P337,O337))</f>
        <v/>
      </c>
      <c r="R337" s="21"/>
      <c r="S337" s="21"/>
      <c r="T337" s="25"/>
      <c r="U337" s="23" t="str">
        <f aca="true">IF(T337="","",T337-TODAY())</f>
        <v/>
      </c>
      <c r="V337" s="21"/>
      <c r="W337" s="25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customFormat="false" ht="15" hidden="false" customHeight="false" outlineLevel="0" collapsed="false">
      <c r="A338" s="21"/>
      <c r="B338" s="21"/>
      <c r="C338" s="21"/>
      <c r="D338" s="21"/>
      <c r="E338" s="21"/>
      <c r="F338" s="21"/>
      <c r="G338" s="21"/>
      <c r="H338" s="21"/>
      <c r="I338" s="21"/>
      <c r="J338" s="22"/>
      <c r="K338" s="22"/>
      <c r="L338" s="22"/>
      <c r="M338" s="22"/>
      <c r="N338" s="23" t="str">
        <f aca="false">IF(C338="","",SUM(J338:M338))</f>
        <v/>
      </c>
      <c r="O338" s="24" t="str">
        <f aca="false">IF(C338="","",IF(OR(D338="Lucro Real",E338="Indústria",N338&gt;500),"A",IF(OR(D338="Lucro Presumido",I338="S",N338&gt;=100),"B","C")))</f>
        <v/>
      </c>
      <c r="P338" s="21"/>
      <c r="Q338" s="24" t="str">
        <f aca="false">IF(C338="","",IF(P338&lt;&gt;"",P338,O338))</f>
        <v/>
      </c>
      <c r="R338" s="21"/>
      <c r="S338" s="21"/>
      <c r="T338" s="25"/>
      <c r="U338" s="23" t="str">
        <f aca="true">IF(T338="","",T338-TODAY())</f>
        <v/>
      </c>
      <c r="V338" s="21"/>
      <c r="W338" s="25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customFormat="false" ht="15" hidden="false" customHeight="false" outlineLevel="0" collapsed="false">
      <c r="A339" s="21"/>
      <c r="B339" s="21"/>
      <c r="C339" s="21"/>
      <c r="D339" s="21"/>
      <c r="E339" s="21"/>
      <c r="F339" s="21"/>
      <c r="G339" s="21"/>
      <c r="H339" s="21"/>
      <c r="I339" s="21"/>
      <c r="J339" s="22"/>
      <c r="K339" s="22"/>
      <c r="L339" s="22"/>
      <c r="M339" s="22"/>
      <c r="N339" s="23" t="str">
        <f aca="false">IF(C339="","",SUM(J339:M339))</f>
        <v/>
      </c>
      <c r="O339" s="24" t="str">
        <f aca="false">IF(C339="","",IF(OR(D339="Lucro Real",E339="Indústria",N339&gt;500),"A",IF(OR(D339="Lucro Presumido",I339="S",N339&gt;=100),"B","C")))</f>
        <v/>
      </c>
      <c r="P339" s="21"/>
      <c r="Q339" s="24" t="str">
        <f aca="false">IF(C339="","",IF(P339&lt;&gt;"",P339,O339))</f>
        <v/>
      </c>
      <c r="R339" s="21"/>
      <c r="S339" s="21"/>
      <c r="T339" s="25"/>
      <c r="U339" s="23" t="str">
        <f aca="true">IF(T339="","",T339-TODAY())</f>
        <v/>
      </c>
      <c r="V339" s="21"/>
      <c r="W339" s="25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customFormat="false" ht="15" hidden="false" customHeight="false" outlineLevel="0" collapsed="false">
      <c r="A340" s="21"/>
      <c r="B340" s="21"/>
      <c r="C340" s="21"/>
      <c r="D340" s="21"/>
      <c r="E340" s="21"/>
      <c r="F340" s="21"/>
      <c r="G340" s="21"/>
      <c r="H340" s="21"/>
      <c r="I340" s="21"/>
      <c r="J340" s="22"/>
      <c r="K340" s="22"/>
      <c r="L340" s="22"/>
      <c r="M340" s="22"/>
      <c r="N340" s="23" t="str">
        <f aca="false">IF(C340="","",SUM(J340:M340))</f>
        <v/>
      </c>
      <c r="O340" s="24" t="str">
        <f aca="false">IF(C340="","",IF(OR(D340="Lucro Real",E340="Indústria",N340&gt;500),"A",IF(OR(D340="Lucro Presumido",I340="S",N340&gt;=100),"B","C")))</f>
        <v/>
      </c>
      <c r="P340" s="21"/>
      <c r="Q340" s="24" t="str">
        <f aca="false">IF(C340="","",IF(P340&lt;&gt;"",P340,O340))</f>
        <v/>
      </c>
      <c r="R340" s="21"/>
      <c r="S340" s="21"/>
      <c r="T340" s="25"/>
      <c r="U340" s="23" t="str">
        <f aca="true">IF(T340="","",T340-TODAY())</f>
        <v/>
      </c>
      <c r="V340" s="21"/>
      <c r="W340" s="25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customFormat="false" ht="15" hidden="false" customHeight="false" outlineLevel="0" collapsed="false">
      <c r="A341" s="21"/>
      <c r="B341" s="21"/>
      <c r="C341" s="21"/>
      <c r="D341" s="21"/>
      <c r="E341" s="21"/>
      <c r="F341" s="21"/>
      <c r="G341" s="21"/>
      <c r="H341" s="21"/>
      <c r="I341" s="21"/>
      <c r="J341" s="22"/>
      <c r="K341" s="22"/>
      <c r="L341" s="22"/>
      <c r="M341" s="22"/>
      <c r="N341" s="23" t="str">
        <f aca="false">IF(C341="","",SUM(J341:M341))</f>
        <v/>
      </c>
      <c r="O341" s="24" t="str">
        <f aca="false">IF(C341="","",IF(OR(D341="Lucro Real",E341="Indústria",N341&gt;500),"A",IF(OR(D341="Lucro Presumido",I341="S",N341&gt;=100),"B","C")))</f>
        <v/>
      </c>
      <c r="P341" s="21"/>
      <c r="Q341" s="24" t="str">
        <f aca="false">IF(C341="","",IF(P341&lt;&gt;"",P341,O341))</f>
        <v/>
      </c>
      <c r="R341" s="21"/>
      <c r="S341" s="21"/>
      <c r="T341" s="25"/>
      <c r="U341" s="23" t="str">
        <f aca="true">IF(T341="","",T341-TODAY())</f>
        <v/>
      </c>
      <c r="V341" s="21"/>
      <c r="W341" s="25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customFormat="false" ht="15" hidden="false" customHeight="false" outlineLevel="0" collapsed="false">
      <c r="A342" s="21"/>
      <c r="B342" s="21"/>
      <c r="C342" s="21"/>
      <c r="D342" s="21"/>
      <c r="E342" s="21"/>
      <c r="F342" s="21"/>
      <c r="G342" s="21"/>
      <c r="H342" s="21"/>
      <c r="I342" s="21"/>
      <c r="J342" s="22"/>
      <c r="K342" s="22"/>
      <c r="L342" s="22"/>
      <c r="M342" s="22"/>
      <c r="N342" s="23" t="str">
        <f aca="false">IF(C342="","",SUM(J342:M342))</f>
        <v/>
      </c>
      <c r="O342" s="24" t="str">
        <f aca="false">IF(C342="","",IF(OR(D342="Lucro Real",E342="Indústria",N342&gt;500),"A",IF(OR(D342="Lucro Presumido",I342="S",N342&gt;=100),"B","C")))</f>
        <v/>
      </c>
      <c r="P342" s="21"/>
      <c r="Q342" s="24" t="str">
        <f aca="false">IF(C342="","",IF(P342&lt;&gt;"",P342,O342))</f>
        <v/>
      </c>
      <c r="R342" s="21"/>
      <c r="S342" s="21"/>
      <c r="T342" s="25"/>
      <c r="U342" s="23" t="str">
        <f aca="true">IF(T342="","",T342-TODAY())</f>
        <v/>
      </c>
      <c r="V342" s="21"/>
      <c r="W342" s="25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customFormat="false" ht="15" hidden="false" customHeight="false" outlineLevel="0" collapsed="false">
      <c r="A343" s="21"/>
      <c r="B343" s="21"/>
      <c r="C343" s="21"/>
      <c r="D343" s="21"/>
      <c r="E343" s="21"/>
      <c r="F343" s="21"/>
      <c r="G343" s="21"/>
      <c r="H343" s="21"/>
      <c r="I343" s="21"/>
      <c r="J343" s="22"/>
      <c r="K343" s="22"/>
      <c r="L343" s="22"/>
      <c r="M343" s="22"/>
      <c r="N343" s="23" t="str">
        <f aca="false">IF(C343="","",SUM(J343:M343))</f>
        <v/>
      </c>
      <c r="O343" s="24" t="str">
        <f aca="false">IF(C343="","",IF(OR(D343="Lucro Real",E343="Indústria",N343&gt;500),"A",IF(OR(D343="Lucro Presumido",I343="S",N343&gt;=100),"B","C")))</f>
        <v/>
      </c>
      <c r="P343" s="21"/>
      <c r="Q343" s="24" t="str">
        <f aca="false">IF(C343="","",IF(P343&lt;&gt;"",P343,O343))</f>
        <v/>
      </c>
      <c r="R343" s="21"/>
      <c r="S343" s="21"/>
      <c r="T343" s="25"/>
      <c r="U343" s="23" t="str">
        <f aca="true">IF(T343="","",T343-TODAY())</f>
        <v/>
      </c>
      <c r="V343" s="21"/>
      <c r="W343" s="25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customFormat="false" ht="15" hidden="false" customHeight="false" outlineLevel="0" collapsed="false">
      <c r="A344" s="21"/>
      <c r="B344" s="21"/>
      <c r="C344" s="21"/>
      <c r="D344" s="21"/>
      <c r="E344" s="21"/>
      <c r="F344" s="21"/>
      <c r="G344" s="21"/>
      <c r="H344" s="21"/>
      <c r="I344" s="21"/>
      <c r="J344" s="22"/>
      <c r="K344" s="22"/>
      <c r="L344" s="22"/>
      <c r="M344" s="22"/>
      <c r="N344" s="23" t="str">
        <f aca="false">IF(C344="","",SUM(J344:M344))</f>
        <v/>
      </c>
      <c r="O344" s="24" t="str">
        <f aca="false">IF(C344="","",IF(OR(D344="Lucro Real",E344="Indústria",N344&gt;500),"A",IF(OR(D344="Lucro Presumido",I344="S",N344&gt;=100),"B","C")))</f>
        <v/>
      </c>
      <c r="P344" s="21"/>
      <c r="Q344" s="24" t="str">
        <f aca="false">IF(C344="","",IF(P344&lt;&gt;"",P344,O344))</f>
        <v/>
      </c>
      <c r="R344" s="21"/>
      <c r="S344" s="21"/>
      <c r="T344" s="25"/>
      <c r="U344" s="23" t="str">
        <f aca="true">IF(T344="","",T344-TODAY())</f>
        <v/>
      </c>
      <c r="V344" s="21"/>
      <c r="W344" s="25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customFormat="false" ht="15" hidden="false" customHeight="false" outlineLevel="0" collapsed="false">
      <c r="A345" s="21"/>
      <c r="B345" s="21"/>
      <c r="C345" s="21"/>
      <c r="D345" s="21"/>
      <c r="E345" s="21"/>
      <c r="F345" s="21"/>
      <c r="G345" s="21"/>
      <c r="H345" s="21"/>
      <c r="I345" s="21"/>
      <c r="J345" s="22"/>
      <c r="K345" s="22"/>
      <c r="L345" s="22"/>
      <c r="M345" s="22"/>
      <c r="N345" s="23" t="str">
        <f aca="false">IF(C345="","",SUM(J345:M345))</f>
        <v/>
      </c>
      <c r="O345" s="24" t="str">
        <f aca="false">IF(C345="","",IF(OR(D345="Lucro Real",E345="Indústria",N345&gt;500),"A",IF(OR(D345="Lucro Presumido",I345="S",N345&gt;=100),"B","C")))</f>
        <v/>
      </c>
      <c r="P345" s="21"/>
      <c r="Q345" s="24" t="str">
        <f aca="false">IF(C345="","",IF(P345&lt;&gt;"",P345,O345))</f>
        <v/>
      </c>
      <c r="R345" s="21"/>
      <c r="S345" s="21"/>
      <c r="T345" s="25"/>
      <c r="U345" s="23" t="str">
        <f aca="true">IF(T345="","",T345-TODAY())</f>
        <v/>
      </c>
      <c r="V345" s="21"/>
      <c r="W345" s="25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customFormat="false" ht="15" hidden="false" customHeight="false" outlineLevel="0" collapsed="false">
      <c r="A346" s="21"/>
      <c r="B346" s="21"/>
      <c r="C346" s="21"/>
      <c r="D346" s="21"/>
      <c r="E346" s="21"/>
      <c r="F346" s="21"/>
      <c r="G346" s="21"/>
      <c r="H346" s="21"/>
      <c r="I346" s="21"/>
      <c r="J346" s="22"/>
      <c r="K346" s="22"/>
      <c r="L346" s="22"/>
      <c r="M346" s="22"/>
      <c r="N346" s="23" t="str">
        <f aca="false">IF(C346="","",SUM(J346:M346))</f>
        <v/>
      </c>
      <c r="O346" s="24" t="str">
        <f aca="false">IF(C346="","",IF(OR(D346="Lucro Real",E346="Indústria",N346&gt;500),"A",IF(OR(D346="Lucro Presumido",I346="S",N346&gt;=100),"B","C")))</f>
        <v/>
      </c>
      <c r="P346" s="21"/>
      <c r="Q346" s="24" t="str">
        <f aca="false">IF(C346="","",IF(P346&lt;&gt;"",P346,O346))</f>
        <v/>
      </c>
      <c r="R346" s="21"/>
      <c r="S346" s="21"/>
      <c r="T346" s="25"/>
      <c r="U346" s="23" t="str">
        <f aca="true">IF(T346="","",T346-TODAY())</f>
        <v/>
      </c>
      <c r="V346" s="21"/>
      <c r="W346" s="25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customFormat="false" ht="15" hidden="false" customHeight="false" outlineLevel="0" collapsed="false">
      <c r="A347" s="21"/>
      <c r="B347" s="21"/>
      <c r="C347" s="21"/>
      <c r="D347" s="21"/>
      <c r="E347" s="21"/>
      <c r="F347" s="21"/>
      <c r="G347" s="21"/>
      <c r="H347" s="21"/>
      <c r="I347" s="21"/>
      <c r="J347" s="22"/>
      <c r="K347" s="22"/>
      <c r="L347" s="22"/>
      <c r="M347" s="22"/>
      <c r="N347" s="23" t="str">
        <f aca="false">IF(C347="","",SUM(J347:M347))</f>
        <v/>
      </c>
      <c r="O347" s="24" t="str">
        <f aca="false">IF(C347="","",IF(OR(D347="Lucro Real",E347="Indústria",N347&gt;500),"A",IF(OR(D347="Lucro Presumido",I347="S",N347&gt;=100),"B","C")))</f>
        <v/>
      </c>
      <c r="P347" s="21"/>
      <c r="Q347" s="24" t="str">
        <f aca="false">IF(C347="","",IF(P347&lt;&gt;"",P347,O347))</f>
        <v/>
      </c>
      <c r="R347" s="21"/>
      <c r="S347" s="21"/>
      <c r="T347" s="25"/>
      <c r="U347" s="23" t="str">
        <f aca="true">IF(T347="","",T347-TODAY())</f>
        <v/>
      </c>
      <c r="V347" s="21"/>
      <c r="W347" s="25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customFormat="false" ht="15" hidden="false" customHeight="false" outlineLevel="0" collapsed="false">
      <c r="A348" s="21"/>
      <c r="B348" s="21"/>
      <c r="C348" s="21"/>
      <c r="D348" s="21"/>
      <c r="E348" s="21"/>
      <c r="F348" s="21"/>
      <c r="G348" s="21"/>
      <c r="H348" s="21"/>
      <c r="I348" s="21"/>
      <c r="J348" s="22"/>
      <c r="K348" s="22"/>
      <c r="L348" s="22"/>
      <c r="M348" s="22"/>
      <c r="N348" s="23" t="str">
        <f aca="false">IF(C348="","",SUM(J348:M348))</f>
        <v/>
      </c>
      <c r="O348" s="24" t="str">
        <f aca="false">IF(C348="","",IF(OR(D348="Lucro Real",E348="Indústria",N348&gt;500),"A",IF(OR(D348="Lucro Presumido",I348="S",N348&gt;=100),"B","C")))</f>
        <v/>
      </c>
      <c r="P348" s="21"/>
      <c r="Q348" s="24" t="str">
        <f aca="false">IF(C348="","",IF(P348&lt;&gt;"",P348,O348))</f>
        <v/>
      </c>
      <c r="R348" s="21"/>
      <c r="S348" s="21"/>
      <c r="T348" s="25"/>
      <c r="U348" s="23" t="str">
        <f aca="true">IF(T348="","",T348-TODAY())</f>
        <v/>
      </c>
      <c r="V348" s="21"/>
      <c r="W348" s="25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customFormat="false" ht="15" hidden="false" customHeight="false" outlineLevel="0" collapsed="false">
      <c r="A349" s="21"/>
      <c r="B349" s="21"/>
      <c r="C349" s="21"/>
      <c r="D349" s="21"/>
      <c r="E349" s="21"/>
      <c r="F349" s="21"/>
      <c r="G349" s="21"/>
      <c r="H349" s="21"/>
      <c r="I349" s="21"/>
      <c r="J349" s="22"/>
      <c r="K349" s="22"/>
      <c r="L349" s="22"/>
      <c r="M349" s="22"/>
      <c r="N349" s="23" t="str">
        <f aca="false">IF(C349="","",SUM(J349:M349))</f>
        <v/>
      </c>
      <c r="O349" s="24" t="str">
        <f aca="false">IF(C349="","",IF(OR(D349="Lucro Real",E349="Indústria",N349&gt;500),"A",IF(OR(D349="Lucro Presumido",I349="S",N349&gt;=100),"B","C")))</f>
        <v/>
      </c>
      <c r="P349" s="21"/>
      <c r="Q349" s="24" t="str">
        <f aca="false">IF(C349="","",IF(P349&lt;&gt;"",P349,O349))</f>
        <v/>
      </c>
      <c r="R349" s="21"/>
      <c r="S349" s="21"/>
      <c r="T349" s="25"/>
      <c r="U349" s="23" t="str">
        <f aca="true">IF(T349="","",T349-TODAY())</f>
        <v/>
      </c>
      <c r="V349" s="21"/>
      <c r="W349" s="25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customFormat="false" ht="15" hidden="false" customHeight="false" outlineLevel="0" collapsed="false">
      <c r="A350" s="21"/>
      <c r="B350" s="21"/>
      <c r="C350" s="21"/>
      <c r="D350" s="21"/>
      <c r="E350" s="21"/>
      <c r="F350" s="21"/>
      <c r="G350" s="21"/>
      <c r="H350" s="21"/>
      <c r="I350" s="21"/>
      <c r="J350" s="22"/>
      <c r="K350" s="22"/>
      <c r="L350" s="22"/>
      <c r="M350" s="22"/>
      <c r="N350" s="23" t="str">
        <f aca="false">IF(C350="","",SUM(J350:M350))</f>
        <v/>
      </c>
      <c r="O350" s="24" t="str">
        <f aca="false">IF(C350="","",IF(OR(D350="Lucro Real",E350="Indústria",N350&gt;500),"A",IF(OR(D350="Lucro Presumido",I350="S",N350&gt;=100),"B","C")))</f>
        <v/>
      </c>
      <c r="P350" s="21"/>
      <c r="Q350" s="24" t="str">
        <f aca="false">IF(C350="","",IF(P350&lt;&gt;"",P350,O350))</f>
        <v/>
      </c>
      <c r="R350" s="21"/>
      <c r="S350" s="21"/>
      <c r="T350" s="25"/>
      <c r="U350" s="23" t="str">
        <f aca="true">IF(T350="","",T350-TODAY())</f>
        <v/>
      </c>
      <c r="V350" s="21"/>
      <c r="W350" s="25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customFormat="false" ht="15" hidden="false" customHeight="false" outlineLevel="0" collapsed="false">
      <c r="A351" s="21"/>
      <c r="B351" s="21"/>
      <c r="C351" s="21"/>
      <c r="D351" s="21"/>
      <c r="E351" s="21"/>
      <c r="F351" s="21"/>
      <c r="G351" s="21"/>
      <c r="H351" s="21"/>
      <c r="I351" s="21"/>
      <c r="J351" s="22"/>
      <c r="K351" s="22"/>
      <c r="L351" s="22"/>
      <c r="M351" s="22"/>
      <c r="N351" s="23" t="str">
        <f aca="false">IF(C351="","",SUM(J351:M351))</f>
        <v/>
      </c>
      <c r="O351" s="24" t="str">
        <f aca="false">IF(C351="","",IF(OR(D351="Lucro Real",E351="Indústria",N351&gt;500),"A",IF(OR(D351="Lucro Presumido",I351="S",N351&gt;=100),"B","C")))</f>
        <v/>
      </c>
      <c r="P351" s="21"/>
      <c r="Q351" s="24" t="str">
        <f aca="false">IF(C351="","",IF(P351&lt;&gt;"",P351,O351))</f>
        <v/>
      </c>
      <c r="R351" s="21"/>
      <c r="S351" s="21"/>
      <c r="T351" s="25"/>
      <c r="U351" s="23" t="str">
        <f aca="true">IF(T351="","",T351-TODAY())</f>
        <v/>
      </c>
      <c r="V351" s="21"/>
      <c r="W351" s="25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customFormat="false" ht="15" hidden="false" customHeight="false" outlineLevel="0" collapsed="false">
      <c r="A352" s="21"/>
      <c r="B352" s="21"/>
      <c r="C352" s="21"/>
      <c r="D352" s="21"/>
      <c r="E352" s="21"/>
      <c r="F352" s="21"/>
      <c r="G352" s="21"/>
      <c r="H352" s="21"/>
      <c r="I352" s="21"/>
      <c r="J352" s="22"/>
      <c r="K352" s="22"/>
      <c r="L352" s="22"/>
      <c r="M352" s="22"/>
      <c r="N352" s="23" t="str">
        <f aca="false">IF(C352="","",SUM(J352:M352))</f>
        <v/>
      </c>
      <c r="O352" s="24" t="str">
        <f aca="false">IF(C352="","",IF(OR(D352="Lucro Real",E352="Indústria",N352&gt;500),"A",IF(OR(D352="Lucro Presumido",I352="S",N352&gt;=100),"B","C")))</f>
        <v/>
      </c>
      <c r="P352" s="21"/>
      <c r="Q352" s="24" t="str">
        <f aca="false">IF(C352="","",IF(P352&lt;&gt;"",P352,O352))</f>
        <v/>
      </c>
      <c r="R352" s="21"/>
      <c r="S352" s="21"/>
      <c r="T352" s="25"/>
      <c r="U352" s="23" t="str">
        <f aca="true">IF(T352="","",T352-TODAY())</f>
        <v/>
      </c>
      <c r="V352" s="21"/>
      <c r="W352" s="25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customFormat="false" ht="15" hidden="false" customHeight="false" outlineLevel="0" collapsed="false">
      <c r="A353" s="21"/>
      <c r="B353" s="21"/>
      <c r="C353" s="21"/>
      <c r="D353" s="21"/>
      <c r="E353" s="21"/>
      <c r="F353" s="21"/>
      <c r="G353" s="21"/>
      <c r="H353" s="21"/>
      <c r="I353" s="21"/>
      <c r="J353" s="22"/>
      <c r="K353" s="22"/>
      <c r="L353" s="22"/>
      <c r="M353" s="22"/>
      <c r="N353" s="23" t="str">
        <f aca="false">IF(C353="","",SUM(J353:M353))</f>
        <v/>
      </c>
      <c r="O353" s="24" t="str">
        <f aca="false">IF(C353="","",IF(OR(D353="Lucro Real",E353="Indústria",N353&gt;500),"A",IF(OR(D353="Lucro Presumido",I353="S",N353&gt;=100),"B","C")))</f>
        <v/>
      </c>
      <c r="P353" s="21"/>
      <c r="Q353" s="24" t="str">
        <f aca="false">IF(C353="","",IF(P353&lt;&gt;"",P353,O353))</f>
        <v/>
      </c>
      <c r="R353" s="21"/>
      <c r="S353" s="21"/>
      <c r="T353" s="25"/>
      <c r="U353" s="23" t="str">
        <f aca="true">IF(T353="","",T353-TODAY())</f>
        <v/>
      </c>
      <c r="V353" s="21"/>
      <c r="W353" s="25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customFormat="false" ht="15" hidden="false" customHeight="false" outlineLevel="0" collapsed="false">
      <c r="A354" s="21"/>
      <c r="B354" s="21"/>
      <c r="C354" s="21"/>
      <c r="D354" s="21"/>
      <c r="E354" s="21"/>
      <c r="F354" s="21"/>
      <c r="G354" s="21"/>
      <c r="H354" s="21"/>
      <c r="I354" s="21"/>
      <c r="J354" s="22"/>
      <c r="K354" s="22"/>
      <c r="L354" s="22"/>
      <c r="M354" s="22"/>
      <c r="N354" s="23" t="str">
        <f aca="false">IF(C354="","",SUM(J354:M354))</f>
        <v/>
      </c>
      <c r="O354" s="24" t="str">
        <f aca="false">IF(C354="","",IF(OR(D354="Lucro Real",E354="Indústria",N354&gt;500),"A",IF(OR(D354="Lucro Presumido",I354="S",N354&gt;=100),"B","C")))</f>
        <v/>
      </c>
      <c r="P354" s="21"/>
      <c r="Q354" s="24" t="str">
        <f aca="false">IF(C354="","",IF(P354&lt;&gt;"",P354,O354))</f>
        <v/>
      </c>
      <c r="R354" s="21"/>
      <c r="S354" s="21"/>
      <c r="T354" s="25"/>
      <c r="U354" s="23" t="str">
        <f aca="true">IF(T354="","",T354-TODAY())</f>
        <v/>
      </c>
      <c r="V354" s="21"/>
      <c r="W354" s="25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customFormat="false" ht="15" hidden="false" customHeight="false" outlineLevel="0" collapsed="false">
      <c r="A355" s="21"/>
      <c r="B355" s="21"/>
      <c r="C355" s="21"/>
      <c r="D355" s="21"/>
      <c r="E355" s="21"/>
      <c r="F355" s="21"/>
      <c r="G355" s="21"/>
      <c r="H355" s="21"/>
      <c r="I355" s="21"/>
      <c r="J355" s="22"/>
      <c r="K355" s="22"/>
      <c r="L355" s="22"/>
      <c r="M355" s="22"/>
      <c r="N355" s="23" t="str">
        <f aca="false">IF(C355="","",SUM(J355:M355))</f>
        <v/>
      </c>
      <c r="O355" s="24" t="str">
        <f aca="false">IF(C355="","",IF(OR(D355="Lucro Real",E355="Indústria",N355&gt;500),"A",IF(OR(D355="Lucro Presumido",I355="S",N355&gt;=100),"B","C")))</f>
        <v/>
      </c>
      <c r="P355" s="21"/>
      <c r="Q355" s="24" t="str">
        <f aca="false">IF(C355="","",IF(P355&lt;&gt;"",P355,O355))</f>
        <v/>
      </c>
      <c r="R355" s="21"/>
      <c r="S355" s="21"/>
      <c r="T355" s="25"/>
      <c r="U355" s="23" t="str">
        <f aca="true">IF(T355="","",T355-TODAY())</f>
        <v/>
      </c>
      <c r="V355" s="21"/>
      <c r="W355" s="25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customFormat="false" ht="15" hidden="false" customHeight="false" outlineLevel="0" collapsed="false">
      <c r="A356" s="21"/>
      <c r="B356" s="21"/>
      <c r="C356" s="21"/>
      <c r="D356" s="21"/>
      <c r="E356" s="21"/>
      <c r="F356" s="21"/>
      <c r="G356" s="21"/>
      <c r="H356" s="21"/>
      <c r="I356" s="21"/>
      <c r="J356" s="22"/>
      <c r="K356" s="22"/>
      <c r="L356" s="22"/>
      <c r="M356" s="22"/>
      <c r="N356" s="23" t="str">
        <f aca="false">IF(C356="","",SUM(J356:M356))</f>
        <v/>
      </c>
      <c r="O356" s="24" t="str">
        <f aca="false">IF(C356="","",IF(OR(D356="Lucro Real",E356="Indústria",N356&gt;500),"A",IF(OR(D356="Lucro Presumido",I356="S",N356&gt;=100),"B","C")))</f>
        <v/>
      </c>
      <c r="P356" s="21"/>
      <c r="Q356" s="24" t="str">
        <f aca="false">IF(C356="","",IF(P356&lt;&gt;"",P356,O356))</f>
        <v/>
      </c>
      <c r="R356" s="21"/>
      <c r="S356" s="21"/>
      <c r="T356" s="25"/>
      <c r="U356" s="23" t="str">
        <f aca="true">IF(T356="","",T356-TODAY())</f>
        <v/>
      </c>
      <c r="V356" s="21"/>
      <c r="W356" s="25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customFormat="false" ht="15" hidden="false" customHeight="false" outlineLevel="0" collapsed="false">
      <c r="A357" s="21"/>
      <c r="B357" s="21"/>
      <c r="C357" s="21"/>
      <c r="D357" s="21"/>
      <c r="E357" s="21"/>
      <c r="F357" s="21"/>
      <c r="G357" s="21"/>
      <c r="H357" s="21"/>
      <c r="I357" s="21"/>
      <c r="J357" s="22"/>
      <c r="K357" s="22"/>
      <c r="L357" s="22"/>
      <c r="M357" s="22"/>
      <c r="N357" s="23" t="str">
        <f aca="false">IF(C357="","",SUM(J357:M357))</f>
        <v/>
      </c>
      <c r="O357" s="24" t="str">
        <f aca="false">IF(C357="","",IF(OR(D357="Lucro Real",E357="Indústria",N357&gt;500),"A",IF(OR(D357="Lucro Presumido",I357="S",N357&gt;=100),"B","C")))</f>
        <v/>
      </c>
      <c r="P357" s="21"/>
      <c r="Q357" s="24" t="str">
        <f aca="false">IF(C357="","",IF(P357&lt;&gt;"",P357,O357))</f>
        <v/>
      </c>
      <c r="R357" s="21"/>
      <c r="S357" s="21"/>
      <c r="T357" s="25"/>
      <c r="U357" s="23" t="str">
        <f aca="true">IF(T357="","",T357-TODAY())</f>
        <v/>
      </c>
      <c r="V357" s="21"/>
      <c r="W357" s="25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customFormat="false" ht="15" hidden="false" customHeight="false" outlineLevel="0" collapsed="false">
      <c r="A358" s="21"/>
      <c r="B358" s="21"/>
      <c r="C358" s="21"/>
      <c r="D358" s="21"/>
      <c r="E358" s="21"/>
      <c r="F358" s="21"/>
      <c r="G358" s="21"/>
      <c r="H358" s="21"/>
      <c r="I358" s="21"/>
      <c r="J358" s="22"/>
      <c r="K358" s="22"/>
      <c r="L358" s="22"/>
      <c r="M358" s="22"/>
      <c r="N358" s="23" t="str">
        <f aca="false">IF(C358="","",SUM(J358:M358))</f>
        <v/>
      </c>
      <c r="O358" s="24" t="str">
        <f aca="false">IF(C358="","",IF(OR(D358="Lucro Real",E358="Indústria",N358&gt;500),"A",IF(OR(D358="Lucro Presumido",I358="S",N358&gt;=100),"B","C")))</f>
        <v/>
      </c>
      <c r="P358" s="21"/>
      <c r="Q358" s="24" t="str">
        <f aca="false">IF(C358="","",IF(P358&lt;&gt;"",P358,O358))</f>
        <v/>
      </c>
      <c r="R358" s="21"/>
      <c r="S358" s="21"/>
      <c r="T358" s="25"/>
      <c r="U358" s="23" t="str">
        <f aca="true">IF(T358="","",T358-TODAY())</f>
        <v/>
      </c>
      <c r="V358" s="21"/>
      <c r="W358" s="25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customFormat="false" ht="15" hidden="false" customHeight="false" outlineLevel="0" collapsed="false">
      <c r="A359" s="21"/>
      <c r="B359" s="21"/>
      <c r="C359" s="21"/>
      <c r="D359" s="21"/>
      <c r="E359" s="21"/>
      <c r="F359" s="21"/>
      <c r="G359" s="21"/>
      <c r="H359" s="21"/>
      <c r="I359" s="21"/>
      <c r="J359" s="22"/>
      <c r="K359" s="22"/>
      <c r="L359" s="22"/>
      <c r="M359" s="22"/>
      <c r="N359" s="23" t="str">
        <f aca="false">IF(C359="","",SUM(J359:M359))</f>
        <v/>
      </c>
      <c r="O359" s="24" t="str">
        <f aca="false">IF(C359="","",IF(OR(D359="Lucro Real",E359="Indústria",N359&gt;500),"A",IF(OR(D359="Lucro Presumido",I359="S",N359&gt;=100),"B","C")))</f>
        <v/>
      </c>
      <c r="P359" s="21"/>
      <c r="Q359" s="24" t="str">
        <f aca="false">IF(C359="","",IF(P359&lt;&gt;"",P359,O359))</f>
        <v/>
      </c>
      <c r="R359" s="21"/>
      <c r="S359" s="21"/>
      <c r="T359" s="25"/>
      <c r="U359" s="23" t="str">
        <f aca="true">IF(T359="","",T359-TODAY())</f>
        <v/>
      </c>
      <c r="V359" s="21"/>
      <c r="W359" s="25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customFormat="false" ht="15" hidden="false" customHeight="false" outlineLevel="0" collapsed="false">
      <c r="A360" s="21"/>
      <c r="B360" s="21"/>
      <c r="C360" s="21"/>
      <c r="D360" s="21"/>
      <c r="E360" s="21"/>
      <c r="F360" s="21"/>
      <c r="G360" s="21"/>
      <c r="H360" s="21"/>
      <c r="I360" s="21"/>
      <c r="J360" s="22"/>
      <c r="K360" s="22"/>
      <c r="L360" s="22"/>
      <c r="M360" s="22"/>
      <c r="N360" s="23" t="str">
        <f aca="false">IF(C360="","",SUM(J360:M360))</f>
        <v/>
      </c>
      <c r="O360" s="24" t="str">
        <f aca="false">IF(C360="","",IF(OR(D360="Lucro Real",E360="Indústria",N360&gt;500),"A",IF(OR(D360="Lucro Presumido",I360="S",N360&gt;=100),"B","C")))</f>
        <v/>
      </c>
      <c r="P360" s="21"/>
      <c r="Q360" s="24" t="str">
        <f aca="false">IF(C360="","",IF(P360&lt;&gt;"",P360,O360))</f>
        <v/>
      </c>
      <c r="R360" s="21"/>
      <c r="S360" s="21"/>
      <c r="T360" s="25"/>
      <c r="U360" s="23" t="str">
        <f aca="true">IF(T360="","",T360-TODAY())</f>
        <v/>
      </c>
      <c r="V360" s="21"/>
      <c r="W360" s="25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customFormat="false" ht="15" hidden="false" customHeight="false" outlineLevel="0" collapsed="false">
      <c r="A361" s="21"/>
      <c r="B361" s="21"/>
      <c r="C361" s="21"/>
      <c r="D361" s="21"/>
      <c r="E361" s="21"/>
      <c r="F361" s="21"/>
      <c r="G361" s="21"/>
      <c r="H361" s="21"/>
      <c r="I361" s="21"/>
      <c r="J361" s="22"/>
      <c r="K361" s="22"/>
      <c r="L361" s="22"/>
      <c r="M361" s="22"/>
      <c r="N361" s="23" t="str">
        <f aca="false">IF(C361="","",SUM(J361:M361))</f>
        <v/>
      </c>
      <c r="O361" s="24" t="str">
        <f aca="false">IF(C361="","",IF(OR(D361="Lucro Real",E361="Indústria",N361&gt;500),"A",IF(OR(D361="Lucro Presumido",I361="S",N361&gt;=100),"B","C")))</f>
        <v/>
      </c>
      <c r="P361" s="21"/>
      <c r="Q361" s="24" t="str">
        <f aca="false">IF(C361="","",IF(P361&lt;&gt;"",P361,O361))</f>
        <v/>
      </c>
      <c r="R361" s="21"/>
      <c r="S361" s="21"/>
      <c r="T361" s="25"/>
      <c r="U361" s="23" t="str">
        <f aca="true">IF(T361="","",T361-TODAY())</f>
        <v/>
      </c>
      <c r="V361" s="21"/>
      <c r="W361" s="25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customFormat="false" ht="15" hidden="false" customHeight="false" outlineLevel="0" collapsed="false">
      <c r="A362" s="21"/>
      <c r="B362" s="21"/>
      <c r="C362" s="21"/>
      <c r="D362" s="21"/>
      <c r="E362" s="21"/>
      <c r="F362" s="21"/>
      <c r="G362" s="21"/>
      <c r="H362" s="21"/>
      <c r="I362" s="21"/>
      <c r="J362" s="22"/>
      <c r="K362" s="22"/>
      <c r="L362" s="22"/>
      <c r="M362" s="22"/>
      <c r="N362" s="23" t="str">
        <f aca="false">IF(C362="","",SUM(J362:M362))</f>
        <v/>
      </c>
      <c r="O362" s="24" t="str">
        <f aca="false">IF(C362="","",IF(OR(D362="Lucro Real",E362="Indústria",N362&gt;500),"A",IF(OR(D362="Lucro Presumido",I362="S",N362&gt;=100),"B","C")))</f>
        <v/>
      </c>
      <c r="P362" s="21"/>
      <c r="Q362" s="24" t="str">
        <f aca="false">IF(C362="","",IF(P362&lt;&gt;"",P362,O362))</f>
        <v/>
      </c>
      <c r="R362" s="21"/>
      <c r="S362" s="21"/>
      <c r="T362" s="25"/>
      <c r="U362" s="23" t="str">
        <f aca="true">IF(T362="","",T362-TODAY())</f>
        <v/>
      </c>
      <c r="V362" s="21"/>
      <c r="W362" s="25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customFormat="false" ht="15" hidden="false" customHeight="false" outlineLevel="0" collapsed="false">
      <c r="A363" s="21"/>
      <c r="B363" s="21"/>
      <c r="C363" s="21"/>
      <c r="D363" s="21"/>
      <c r="E363" s="21"/>
      <c r="F363" s="21"/>
      <c r="G363" s="21"/>
      <c r="H363" s="21"/>
      <c r="I363" s="21"/>
      <c r="J363" s="22"/>
      <c r="K363" s="22"/>
      <c r="L363" s="22"/>
      <c r="M363" s="22"/>
      <c r="N363" s="23" t="str">
        <f aca="false">IF(C363="","",SUM(J363:M363))</f>
        <v/>
      </c>
      <c r="O363" s="24" t="str">
        <f aca="false">IF(C363="","",IF(OR(D363="Lucro Real",E363="Indústria",N363&gt;500),"A",IF(OR(D363="Lucro Presumido",I363="S",N363&gt;=100),"B","C")))</f>
        <v/>
      </c>
      <c r="P363" s="21"/>
      <c r="Q363" s="24" t="str">
        <f aca="false">IF(C363="","",IF(P363&lt;&gt;"",P363,O363))</f>
        <v/>
      </c>
      <c r="R363" s="21"/>
      <c r="S363" s="21"/>
      <c r="T363" s="25"/>
      <c r="U363" s="23" t="str">
        <f aca="true">IF(T363="","",T363-TODAY())</f>
        <v/>
      </c>
      <c r="V363" s="21"/>
      <c r="W363" s="25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customFormat="false" ht="15" hidden="false" customHeight="false" outlineLevel="0" collapsed="false">
      <c r="A364" s="21"/>
      <c r="B364" s="21"/>
      <c r="C364" s="21"/>
      <c r="D364" s="21"/>
      <c r="E364" s="21"/>
      <c r="F364" s="21"/>
      <c r="G364" s="21"/>
      <c r="H364" s="21"/>
      <c r="I364" s="21"/>
      <c r="J364" s="22"/>
      <c r="K364" s="22"/>
      <c r="L364" s="22"/>
      <c r="M364" s="22"/>
      <c r="N364" s="23" t="str">
        <f aca="false">IF(C364="","",SUM(J364:M364))</f>
        <v/>
      </c>
      <c r="O364" s="24" t="str">
        <f aca="false">IF(C364="","",IF(OR(D364="Lucro Real",E364="Indústria",N364&gt;500),"A",IF(OR(D364="Lucro Presumido",I364="S",N364&gt;=100),"B","C")))</f>
        <v/>
      </c>
      <c r="P364" s="21"/>
      <c r="Q364" s="24" t="str">
        <f aca="false">IF(C364="","",IF(P364&lt;&gt;"",P364,O364))</f>
        <v/>
      </c>
      <c r="R364" s="21"/>
      <c r="S364" s="21"/>
      <c r="T364" s="25"/>
      <c r="U364" s="23" t="str">
        <f aca="true">IF(T364="","",T364-TODAY())</f>
        <v/>
      </c>
      <c r="V364" s="21"/>
      <c r="W364" s="25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customFormat="false" ht="15" hidden="false" customHeight="false" outlineLevel="0" collapsed="false">
      <c r="A365" s="21"/>
      <c r="B365" s="21"/>
      <c r="C365" s="21"/>
      <c r="D365" s="21"/>
      <c r="E365" s="21"/>
      <c r="F365" s="21"/>
      <c r="G365" s="21"/>
      <c r="H365" s="21"/>
      <c r="I365" s="21"/>
      <c r="J365" s="22"/>
      <c r="K365" s="22"/>
      <c r="L365" s="22"/>
      <c r="M365" s="22"/>
      <c r="N365" s="23" t="str">
        <f aca="false">IF(C365="","",SUM(J365:M365))</f>
        <v/>
      </c>
      <c r="O365" s="24" t="str">
        <f aca="false">IF(C365="","",IF(OR(D365="Lucro Real",E365="Indústria",N365&gt;500),"A",IF(OR(D365="Lucro Presumido",I365="S",N365&gt;=100),"B","C")))</f>
        <v/>
      </c>
      <c r="P365" s="21"/>
      <c r="Q365" s="24" t="str">
        <f aca="false">IF(C365="","",IF(P365&lt;&gt;"",P365,O365))</f>
        <v/>
      </c>
      <c r="R365" s="21"/>
      <c r="S365" s="21"/>
      <c r="T365" s="25"/>
      <c r="U365" s="23" t="str">
        <f aca="true">IF(T365="","",T365-TODAY())</f>
        <v/>
      </c>
      <c r="V365" s="21"/>
      <c r="W365" s="25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customFormat="false" ht="15" hidden="false" customHeight="false" outlineLevel="0" collapsed="false">
      <c r="A366" s="21"/>
      <c r="B366" s="21"/>
      <c r="C366" s="21"/>
      <c r="D366" s="21"/>
      <c r="E366" s="21"/>
      <c r="F366" s="21"/>
      <c r="G366" s="21"/>
      <c r="H366" s="21"/>
      <c r="I366" s="21"/>
      <c r="J366" s="22"/>
      <c r="K366" s="22"/>
      <c r="L366" s="22"/>
      <c r="M366" s="22"/>
      <c r="N366" s="23" t="str">
        <f aca="false">IF(C366="","",SUM(J366:M366))</f>
        <v/>
      </c>
      <c r="O366" s="24" t="str">
        <f aca="false">IF(C366="","",IF(OR(D366="Lucro Real",E366="Indústria",N366&gt;500),"A",IF(OR(D366="Lucro Presumido",I366="S",N366&gt;=100),"B","C")))</f>
        <v/>
      </c>
      <c r="P366" s="21"/>
      <c r="Q366" s="24" t="str">
        <f aca="false">IF(C366="","",IF(P366&lt;&gt;"",P366,O366))</f>
        <v/>
      </c>
      <c r="R366" s="21"/>
      <c r="S366" s="21"/>
      <c r="T366" s="25"/>
      <c r="U366" s="23" t="str">
        <f aca="true">IF(T366="","",T366-TODAY())</f>
        <v/>
      </c>
      <c r="V366" s="21"/>
      <c r="W366" s="25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customFormat="false" ht="15" hidden="false" customHeight="false" outlineLevel="0" collapsed="false">
      <c r="A367" s="21"/>
      <c r="B367" s="21"/>
      <c r="C367" s="21"/>
      <c r="D367" s="21"/>
      <c r="E367" s="21"/>
      <c r="F367" s="21"/>
      <c r="G367" s="21"/>
      <c r="H367" s="21"/>
      <c r="I367" s="21"/>
      <c r="J367" s="22"/>
      <c r="K367" s="22"/>
      <c r="L367" s="22"/>
      <c r="M367" s="22"/>
      <c r="N367" s="23" t="str">
        <f aca="false">IF(C367="","",SUM(J367:M367))</f>
        <v/>
      </c>
      <c r="O367" s="24" t="str">
        <f aca="false">IF(C367="","",IF(OR(D367="Lucro Real",E367="Indústria",N367&gt;500),"A",IF(OR(D367="Lucro Presumido",I367="S",N367&gt;=100),"B","C")))</f>
        <v/>
      </c>
      <c r="P367" s="21"/>
      <c r="Q367" s="24" t="str">
        <f aca="false">IF(C367="","",IF(P367&lt;&gt;"",P367,O367))</f>
        <v/>
      </c>
      <c r="R367" s="21"/>
      <c r="S367" s="21"/>
      <c r="T367" s="25"/>
      <c r="U367" s="23" t="str">
        <f aca="true">IF(T367="","",T367-TODAY())</f>
        <v/>
      </c>
      <c r="V367" s="21"/>
      <c r="W367" s="25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customFormat="false" ht="15" hidden="false" customHeight="false" outlineLevel="0" collapsed="false">
      <c r="A368" s="21"/>
      <c r="B368" s="21"/>
      <c r="C368" s="21"/>
      <c r="D368" s="21"/>
      <c r="E368" s="21"/>
      <c r="F368" s="21"/>
      <c r="G368" s="21"/>
      <c r="H368" s="21"/>
      <c r="I368" s="21"/>
      <c r="J368" s="22"/>
      <c r="K368" s="22"/>
      <c r="L368" s="22"/>
      <c r="M368" s="22"/>
      <c r="N368" s="23" t="str">
        <f aca="false">IF(C368="","",SUM(J368:M368))</f>
        <v/>
      </c>
      <c r="O368" s="24" t="str">
        <f aca="false">IF(C368="","",IF(OR(D368="Lucro Real",E368="Indústria",N368&gt;500),"A",IF(OR(D368="Lucro Presumido",I368="S",N368&gt;=100),"B","C")))</f>
        <v/>
      </c>
      <c r="P368" s="21"/>
      <c r="Q368" s="24" t="str">
        <f aca="false">IF(C368="","",IF(P368&lt;&gt;"",P368,O368))</f>
        <v/>
      </c>
      <c r="R368" s="21"/>
      <c r="S368" s="21"/>
      <c r="T368" s="25"/>
      <c r="U368" s="23" t="str">
        <f aca="true">IF(T368="","",T368-TODAY())</f>
        <v/>
      </c>
      <c r="V368" s="21"/>
      <c r="W368" s="25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customFormat="false" ht="15" hidden="false" customHeight="false" outlineLevel="0" collapsed="false">
      <c r="A369" s="21"/>
      <c r="B369" s="21"/>
      <c r="C369" s="21"/>
      <c r="D369" s="21"/>
      <c r="E369" s="21"/>
      <c r="F369" s="21"/>
      <c r="G369" s="21"/>
      <c r="H369" s="21"/>
      <c r="I369" s="21"/>
      <c r="J369" s="22"/>
      <c r="K369" s="22"/>
      <c r="L369" s="22"/>
      <c r="M369" s="22"/>
      <c r="N369" s="23" t="str">
        <f aca="false">IF(C369="","",SUM(J369:M369))</f>
        <v/>
      </c>
      <c r="O369" s="24" t="str">
        <f aca="false">IF(C369="","",IF(OR(D369="Lucro Real",E369="Indústria",N369&gt;500),"A",IF(OR(D369="Lucro Presumido",I369="S",N369&gt;=100),"B","C")))</f>
        <v/>
      </c>
      <c r="P369" s="21"/>
      <c r="Q369" s="24" t="str">
        <f aca="false">IF(C369="","",IF(P369&lt;&gt;"",P369,O369))</f>
        <v/>
      </c>
      <c r="R369" s="21"/>
      <c r="S369" s="21"/>
      <c r="T369" s="25"/>
      <c r="U369" s="23" t="str">
        <f aca="true">IF(T369="","",T369-TODAY())</f>
        <v/>
      </c>
      <c r="V369" s="21"/>
      <c r="W369" s="25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customFormat="false" ht="15" hidden="false" customHeight="false" outlineLevel="0" collapsed="false">
      <c r="A370" s="21"/>
      <c r="B370" s="21"/>
      <c r="C370" s="21"/>
      <c r="D370" s="21"/>
      <c r="E370" s="21"/>
      <c r="F370" s="21"/>
      <c r="G370" s="21"/>
      <c r="H370" s="21"/>
      <c r="I370" s="21"/>
      <c r="J370" s="22"/>
      <c r="K370" s="22"/>
      <c r="L370" s="22"/>
      <c r="M370" s="22"/>
      <c r="N370" s="23" t="str">
        <f aca="false">IF(C370="","",SUM(J370:M370))</f>
        <v/>
      </c>
      <c r="O370" s="24" t="str">
        <f aca="false">IF(C370="","",IF(OR(D370="Lucro Real",E370="Indústria",N370&gt;500),"A",IF(OR(D370="Lucro Presumido",I370="S",N370&gt;=100),"B","C")))</f>
        <v/>
      </c>
      <c r="P370" s="21"/>
      <c r="Q370" s="24" t="str">
        <f aca="false">IF(C370="","",IF(P370&lt;&gt;"",P370,O370))</f>
        <v/>
      </c>
      <c r="R370" s="21"/>
      <c r="S370" s="21"/>
      <c r="T370" s="25"/>
      <c r="U370" s="23" t="str">
        <f aca="true">IF(T370="","",T370-TODAY())</f>
        <v/>
      </c>
      <c r="V370" s="21"/>
      <c r="W370" s="25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customFormat="false" ht="15" hidden="false" customHeight="false" outlineLevel="0" collapsed="false">
      <c r="A371" s="21"/>
      <c r="B371" s="21"/>
      <c r="C371" s="21"/>
      <c r="D371" s="21"/>
      <c r="E371" s="21"/>
      <c r="F371" s="21"/>
      <c r="G371" s="21"/>
      <c r="H371" s="21"/>
      <c r="I371" s="21"/>
      <c r="J371" s="22"/>
      <c r="K371" s="22"/>
      <c r="L371" s="22"/>
      <c r="M371" s="22"/>
      <c r="N371" s="23" t="str">
        <f aca="false">IF(C371="","",SUM(J371:M371))</f>
        <v/>
      </c>
      <c r="O371" s="24" t="str">
        <f aca="false">IF(C371="","",IF(OR(D371="Lucro Real",E371="Indústria",N371&gt;500),"A",IF(OR(D371="Lucro Presumido",I371="S",N371&gt;=100),"B","C")))</f>
        <v/>
      </c>
      <c r="P371" s="21"/>
      <c r="Q371" s="24" t="str">
        <f aca="false">IF(C371="","",IF(P371&lt;&gt;"",P371,O371))</f>
        <v/>
      </c>
      <c r="R371" s="21"/>
      <c r="S371" s="21"/>
      <c r="T371" s="25"/>
      <c r="U371" s="23" t="str">
        <f aca="true">IF(T371="","",T371-TODAY())</f>
        <v/>
      </c>
      <c r="V371" s="21"/>
      <c r="W371" s="25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customFormat="false" ht="15" hidden="false" customHeight="false" outlineLevel="0" collapsed="false">
      <c r="A372" s="21"/>
      <c r="B372" s="21"/>
      <c r="C372" s="21"/>
      <c r="D372" s="21"/>
      <c r="E372" s="21"/>
      <c r="F372" s="21"/>
      <c r="G372" s="21"/>
      <c r="H372" s="21"/>
      <c r="I372" s="21"/>
      <c r="J372" s="22"/>
      <c r="K372" s="22"/>
      <c r="L372" s="22"/>
      <c r="M372" s="22"/>
      <c r="N372" s="23" t="str">
        <f aca="false">IF(C372="","",SUM(J372:M372))</f>
        <v/>
      </c>
      <c r="O372" s="24" t="str">
        <f aca="false">IF(C372="","",IF(OR(D372="Lucro Real",E372="Indústria",N372&gt;500),"A",IF(OR(D372="Lucro Presumido",I372="S",N372&gt;=100),"B","C")))</f>
        <v/>
      </c>
      <c r="P372" s="21"/>
      <c r="Q372" s="24" t="str">
        <f aca="false">IF(C372="","",IF(P372&lt;&gt;"",P372,O372))</f>
        <v/>
      </c>
      <c r="R372" s="21"/>
      <c r="S372" s="21"/>
      <c r="T372" s="25"/>
      <c r="U372" s="23" t="str">
        <f aca="true">IF(T372="","",T372-TODAY())</f>
        <v/>
      </c>
      <c r="V372" s="21"/>
      <c r="W372" s="25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customFormat="false" ht="15" hidden="false" customHeight="false" outlineLevel="0" collapsed="false">
      <c r="A373" s="21"/>
      <c r="B373" s="21"/>
      <c r="C373" s="21"/>
      <c r="D373" s="21"/>
      <c r="E373" s="21"/>
      <c r="F373" s="21"/>
      <c r="G373" s="21"/>
      <c r="H373" s="21"/>
      <c r="I373" s="21"/>
      <c r="J373" s="22"/>
      <c r="K373" s="22"/>
      <c r="L373" s="22"/>
      <c r="M373" s="22"/>
      <c r="N373" s="23" t="str">
        <f aca="false">IF(C373="","",SUM(J373:M373))</f>
        <v/>
      </c>
      <c r="O373" s="24" t="str">
        <f aca="false">IF(C373="","",IF(OR(D373="Lucro Real",E373="Indústria",N373&gt;500),"A",IF(OR(D373="Lucro Presumido",I373="S",N373&gt;=100),"B","C")))</f>
        <v/>
      </c>
      <c r="P373" s="21"/>
      <c r="Q373" s="24" t="str">
        <f aca="false">IF(C373="","",IF(P373&lt;&gt;"",P373,O373))</f>
        <v/>
      </c>
      <c r="R373" s="21"/>
      <c r="S373" s="21"/>
      <c r="T373" s="25"/>
      <c r="U373" s="23" t="str">
        <f aca="true">IF(T373="","",T373-TODAY())</f>
        <v/>
      </c>
      <c r="V373" s="21"/>
      <c r="W373" s="25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customFormat="false" ht="15" hidden="false" customHeight="false" outlineLevel="0" collapsed="false">
      <c r="A374" s="21"/>
      <c r="B374" s="21"/>
      <c r="C374" s="21"/>
      <c r="D374" s="21"/>
      <c r="E374" s="21"/>
      <c r="F374" s="21"/>
      <c r="G374" s="21"/>
      <c r="H374" s="21"/>
      <c r="I374" s="21"/>
      <c r="J374" s="22"/>
      <c r="K374" s="22"/>
      <c r="L374" s="22"/>
      <c r="M374" s="22"/>
      <c r="N374" s="23" t="str">
        <f aca="false">IF(C374="","",SUM(J374:M374))</f>
        <v/>
      </c>
      <c r="O374" s="24" t="str">
        <f aca="false">IF(C374="","",IF(OR(D374="Lucro Real",E374="Indústria",N374&gt;500),"A",IF(OR(D374="Lucro Presumido",I374="S",N374&gt;=100),"B","C")))</f>
        <v/>
      </c>
      <c r="P374" s="21"/>
      <c r="Q374" s="24" t="str">
        <f aca="false">IF(C374="","",IF(P374&lt;&gt;"",P374,O374))</f>
        <v/>
      </c>
      <c r="R374" s="21"/>
      <c r="S374" s="21"/>
      <c r="T374" s="25"/>
      <c r="U374" s="23" t="str">
        <f aca="true">IF(T374="","",T374-TODAY())</f>
        <v/>
      </c>
      <c r="V374" s="21"/>
      <c r="W374" s="25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customFormat="false" ht="15" hidden="false" customHeight="false" outlineLevel="0" collapsed="false">
      <c r="A375" s="21"/>
      <c r="B375" s="21"/>
      <c r="C375" s="21"/>
      <c r="D375" s="21"/>
      <c r="E375" s="21"/>
      <c r="F375" s="21"/>
      <c r="G375" s="21"/>
      <c r="H375" s="21"/>
      <c r="I375" s="21"/>
      <c r="J375" s="22"/>
      <c r="K375" s="22"/>
      <c r="L375" s="22"/>
      <c r="M375" s="22"/>
      <c r="N375" s="23" t="str">
        <f aca="false">IF(C375="","",SUM(J375:M375))</f>
        <v/>
      </c>
      <c r="O375" s="24" t="str">
        <f aca="false">IF(C375="","",IF(OR(D375="Lucro Real",E375="Indústria",N375&gt;500),"A",IF(OR(D375="Lucro Presumido",I375="S",N375&gt;=100),"B","C")))</f>
        <v/>
      </c>
      <c r="P375" s="21"/>
      <c r="Q375" s="24" t="str">
        <f aca="false">IF(C375="","",IF(P375&lt;&gt;"",P375,O375))</f>
        <v/>
      </c>
      <c r="R375" s="21"/>
      <c r="S375" s="21"/>
      <c r="T375" s="25"/>
      <c r="U375" s="23" t="str">
        <f aca="true">IF(T375="","",T375-TODAY())</f>
        <v/>
      </c>
      <c r="V375" s="21"/>
      <c r="W375" s="25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customFormat="false" ht="15" hidden="false" customHeight="false" outlineLevel="0" collapsed="false">
      <c r="A376" s="21"/>
      <c r="B376" s="21"/>
      <c r="C376" s="21"/>
      <c r="D376" s="21"/>
      <c r="E376" s="21"/>
      <c r="F376" s="21"/>
      <c r="G376" s="21"/>
      <c r="H376" s="21"/>
      <c r="I376" s="21"/>
      <c r="J376" s="22"/>
      <c r="K376" s="22"/>
      <c r="L376" s="22"/>
      <c r="M376" s="22"/>
      <c r="N376" s="23" t="str">
        <f aca="false">IF(C376="","",SUM(J376:M376))</f>
        <v/>
      </c>
      <c r="O376" s="24" t="str">
        <f aca="false">IF(C376="","",IF(OR(D376="Lucro Real",E376="Indústria",N376&gt;500),"A",IF(OR(D376="Lucro Presumido",I376="S",N376&gt;=100),"B","C")))</f>
        <v/>
      </c>
      <c r="P376" s="21"/>
      <c r="Q376" s="24" t="str">
        <f aca="false">IF(C376="","",IF(P376&lt;&gt;"",P376,O376))</f>
        <v/>
      </c>
      <c r="R376" s="21"/>
      <c r="S376" s="21"/>
      <c r="T376" s="25"/>
      <c r="U376" s="23" t="str">
        <f aca="true">IF(T376="","",T376-TODAY())</f>
        <v/>
      </c>
      <c r="V376" s="21"/>
      <c r="W376" s="25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customFormat="false" ht="15" hidden="false" customHeight="false" outlineLevel="0" collapsed="false">
      <c r="A377" s="21"/>
      <c r="B377" s="21"/>
      <c r="C377" s="21"/>
      <c r="D377" s="21"/>
      <c r="E377" s="21"/>
      <c r="F377" s="21"/>
      <c r="G377" s="21"/>
      <c r="H377" s="21"/>
      <c r="I377" s="21"/>
      <c r="J377" s="22"/>
      <c r="K377" s="22"/>
      <c r="L377" s="22"/>
      <c r="M377" s="22"/>
      <c r="N377" s="23" t="str">
        <f aca="false">IF(C377="","",SUM(J377:M377))</f>
        <v/>
      </c>
      <c r="O377" s="24" t="str">
        <f aca="false">IF(C377="","",IF(OR(D377="Lucro Real",E377="Indústria",N377&gt;500),"A",IF(OR(D377="Lucro Presumido",I377="S",N377&gt;=100),"B","C")))</f>
        <v/>
      </c>
      <c r="P377" s="21"/>
      <c r="Q377" s="24" t="str">
        <f aca="false">IF(C377="","",IF(P377&lt;&gt;"",P377,O377))</f>
        <v/>
      </c>
      <c r="R377" s="21"/>
      <c r="S377" s="21"/>
      <c r="T377" s="25"/>
      <c r="U377" s="23" t="str">
        <f aca="true">IF(T377="","",T377-TODAY())</f>
        <v/>
      </c>
      <c r="V377" s="21"/>
      <c r="W377" s="25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customFormat="false" ht="15" hidden="false" customHeight="false" outlineLevel="0" collapsed="false">
      <c r="A378" s="21"/>
      <c r="B378" s="21"/>
      <c r="C378" s="21"/>
      <c r="D378" s="21"/>
      <c r="E378" s="21"/>
      <c r="F378" s="21"/>
      <c r="G378" s="21"/>
      <c r="H378" s="21"/>
      <c r="I378" s="21"/>
      <c r="J378" s="22"/>
      <c r="K378" s="22"/>
      <c r="L378" s="22"/>
      <c r="M378" s="22"/>
      <c r="N378" s="23" t="str">
        <f aca="false">IF(C378="","",SUM(J378:M378))</f>
        <v/>
      </c>
      <c r="O378" s="24" t="str">
        <f aca="false">IF(C378="","",IF(OR(D378="Lucro Real",E378="Indústria",N378&gt;500),"A",IF(OR(D378="Lucro Presumido",I378="S",N378&gt;=100),"B","C")))</f>
        <v/>
      </c>
      <c r="P378" s="21"/>
      <c r="Q378" s="24" t="str">
        <f aca="false">IF(C378="","",IF(P378&lt;&gt;"",P378,O378))</f>
        <v/>
      </c>
      <c r="R378" s="21"/>
      <c r="S378" s="21"/>
      <c r="T378" s="25"/>
      <c r="U378" s="23" t="str">
        <f aca="true">IF(T378="","",T378-TODAY())</f>
        <v/>
      </c>
      <c r="V378" s="21"/>
      <c r="W378" s="25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customFormat="false" ht="15" hidden="false" customHeight="false" outlineLevel="0" collapsed="false">
      <c r="A379" s="21"/>
      <c r="B379" s="21"/>
      <c r="C379" s="21"/>
      <c r="D379" s="21"/>
      <c r="E379" s="21"/>
      <c r="F379" s="21"/>
      <c r="G379" s="21"/>
      <c r="H379" s="21"/>
      <c r="I379" s="21"/>
      <c r="J379" s="22"/>
      <c r="K379" s="22"/>
      <c r="L379" s="22"/>
      <c r="M379" s="22"/>
      <c r="N379" s="23" t="str">
        <f aca="false">IF(C379="","",SUM(J379:M379))</f>
        <v/>
      </c>
      <c r="O379" s="24" t="str">
        <f aca="false">IF(C379="","",IF(OR(D379="Lucro Real",E379="Indústria",N379&gt;500),"A",IF(OR(D379="Lucro Presumido",I379="S",N379&gt;=100),"B","C")))</f>
        <v/>
      </c>
      <c r="P379" s="21"/>
      <c r="Q379" s="24" t="str">
        <f aca="false">IF(C379="","",IF(P379&lt;&gt;"",P379,O379))</f>
        <v/>
      </c>
      <c r="R379" s="21"/>
      <c r="S379" s="21"/>
      <c r="T379" s="25"/>
      <c r="U379" s="23" t="str">
        <f aca="true">IF(T379="","",T379-TODAY())</f>
        <v/>
      </c>
      <c r="V379" s="21"/>
      <c r="W379" s="25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customFormat="false" ht="15" hidden="false" customHeight="false" outlineLevel="0" collapsed="false">
      <c r="A380" s="21"/>
      <c r="B380" s="21"/>
      <c r="C380" s="21"/>
      <c r="D380" s="21"/>
      <c r="E380" s="21"/>
      <c r="F380" s="21"/>
      <c r="G380" s="21"/>
      <c r="H380" s="21"/>
      <c r="I380" s="21"/>
      <c r="J380" s="22"/>
      <c r="K380" s="22"/>
      <c r="L380" s="22"/>
      <c r="M380" s="22"/>
      <c r="N380" s="23" t="str">
        <f aca="false">IF(C380="","",SUM(J380:M380))</f>
        <v/>
      </c>
      <c r="O380" s="24" t="str">
        <f aca="false">IF(C380="","",IF(OR(D380="Lucro Real",E380="Indústria",N380&gt;500),"A",IF(OR(D380="Lucro Presumido",I380="S",N380&gt;=100),"B","C")))</f>
        <v/>
      </c>
      <c r="P380" s="21"/>
      <c r="Q380" s="24" t="str">
        <f aca="false">IF(C380="","",IF(P380&lt;&gt;"",P380,O380))</f>
        <v/>
      </c>
      <c r="R380" s="21"/>
      <c r="S380" s="21"/>
      <c r="T380" s="25"/>
      <c r="U380" s="23" t="str">
        <f aca="true">IF(T380="","",T380-TODAY())</f>
        <v/>
      </c>
      <c r="V380" s="21"/>
      <c r="W380" s="25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customFormat="false" ht="15" hidden="false" customHeight="false" outlineLevel="0" collapsed="false">
      <c r="A381" s="21"/>
      <c r="B381" s="21"/>
      <c r="C381" s="21"/>
      <c r="D381" s="21"/>
      <c r="E381" s="21"/>
      <c r="F381" s="21"/>
      <c r="G381" s="21"/>
      <c r="H381" s="21"/>
      <c r="I381" s="21"/>
      <c r="J381" s="22"/>
      <c r="K381" s="22"/>
      <c r="L381" s="22"/>
      <c r="M381" s="22"/>
      <c r="N381" s="23" t="str">
        <f aca="false">IF(C381="","",SUM(J381:M381))</f>
        <v/>
      </c>
      <c r="O381" s="24" t="str">
        <f aca="false">IF(C381="","",IF(OR(D381="Lucro Real",E381="Indústria",N381&gt;500),"A",IF(OR(D381="Lucro Presumido",I381="S",N381&gt;=100),"B","C")))</f>
        <v/>
      </c>
      <c r="P381" s="21"/>
      <c r="Q381" s="24" t="str">
        <f aca="false">IF(C381="","",IF(P381&lt;&gt;"",P381,O381))</f>
        <v/>
      </c>
      <c r="R381" s="21"/>
      <c r="S381" s="21"/>
      <c r="T381" s="25"/>
      <c r="U381" s="23" t="str">
        <f aca="true">IF(T381="","",T381-TODAY())</f>
        <v/>
      </c>
      <c r="V381" s="21"/>
      <c r="W381" s="25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customFormat="false" ht="15" hidden="false" customHeight="false" outlineLevel="0" collapsed="false">
      <c r="A382" s="21"/>
      <c r="B382" s="21"/>
      <c r="C382" s="21"/>
      <c r="D382" s="21"/>
      <c r="E382" s="21"/>
      <c r="F382" s="21"/>
      <c r="G382" s="21"/>
      <c r="H382" s="21"/>
      <c r="I382" s="21"/>
      <c r="J382" s="22"/>
      <c r="K382" s="22"/>
      <c r="L382" s="22"/>
      <c r="M382" s="22"/>
      <c r="N382" s="23" t="str">
        <f aca="false">IF(C382="","",SUM(J382:M382))</f>
        <v/>
      </c>
      <c r="O382" s="24" t="str">
        <f aca="false">IF(C382="","",IF(OR(D382="Lucro Real",E382="Indústria",N382&gt;500),"A",IF(OR(D382="Lucro Presumido",I382="S",N382&gt;=100),"B","C")))</f>
        <v/>
      </c>
      <c r="P382" s="21"/>
      <c r="Q382" s="24" t="str">
        <f aca="false">IF(C382="","",IF(P382&lt;&gt;"",P382,O382))</f>
        <v/>
      </c>
      <c r="R382" s="21"/>
      <c r="S382" s="21"/>
      <c r="T382" s="25"/>
      <c r="U382" s="23" t="str">
        <f aca="true">IF(T382="","",T382-TODAY())</f>
        <v/>
      </c>
      <c r="V382" s="21"/>
      <c r="W382" s="25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customFormat="false" ht="15" hidden="false" customHeight="false" outlineLevel="0" collapsed="false">
      <c r="A383" s="21"/>
      <c r="B383" s="21"/>
      <c r="C383" s="21"/>
      <c r="D383" s="21"/>
      <c r="E383" s="21"/>
      <c r="F383" s="21"/>
      <c r="G383" s="21"/>
      <c r="H383" s="21"/>
      <c r="I383" s="21"/>
      <c r="J383" s="22"/>
      <c r="K383" s="22"/>
      <c r="L383" s="22"/>
      <c r="M383" s="22"/>
      <c r="N383" s="23" t="str">
        <f aca="false">IF(C383="","",SUM(J383:M383))</f>
        <v/>
      </c>
      <c r="O383" s="24" t="str">
        <f aca="false">IF(C383="","",IF(OR(D383="Lucro Real",E383="Indústria",N383&gt;500),"A",IF(OR(D383="Lucro Presumido",I383="S",N383&gt;=100),"B","C")))</f>
        <v/>
      </c>
      <c r="P383" s="21"/>
      <c r="Q383" s="24" t="str">
        <f aca="false">IF(C383="","",IF(P383&lt;&gt;"",P383,O383))</f>
        <v/>
      </c>
      <c r="R383" s="21"/>
      <c r="S383" s="21"/>
      <c r="T383" s="25"/>
      <c r="U383" s="23" t="str">
        <f aca="true">IF(T383="","",T383-TODAY())</f>
        <v/>
      </c>
      <c r="V383" s="21"/>
      <c r="W383" s="25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customFormat="false" ht="15" hidden="false" customHeight="false" outlineLevel="0" collapsed="false">
      <c r="A384" s="21"/>
      <c r="B384" s="21"/>
      <c r="C384" s="21"/>
      <c r="D384" s="21"/>
      <c r="E384" s="21"/>
      <c r="F384" s="21"/>
      <c r="G384" s="21"/>
      <c r="H384" s="21"/>
      <c r="I384" s="21"/>
      <c r="J384" s="22"/>
      <c r="K384" s="22"/>
      <c r="L384" s="22"/>
      <c r="M384" s="22"/>
      <c r="N384" s="23" t="str">
        <f aca="false">IF(C384="","",SUM(J384:M384))</f>
        <v/>
      </c>
      <c r="O384" s="24" t="str">
        <f aca="false">IF(C384="","",IF(OR(D384="Lucro Real",E384="Indústria",N384&gt;500),"A",IF(OR(D384="Lucro Presumido",I384="S",N384&gt;=100),"B","C")))</f>
        <v/>
      </c>
      <c r="P384" s="21"/>
      <c r="Q384" s="24" t="str">
        <f aca="false">IF(C384="","",IF(P384&lt;&gt;"",P384,O384))</f>
        <v/>
      </c>
      <c r="R384" s="21"/>
      <c r="S384" s="21"/>
      <c r="T384" s="25"/>
      <c r="U384" s="23" t="str">
        <f aca="true">IF(T384="","",T384-TODAY())</f>
        <v/>
      </c>
      <c r="V384" s="21"/>
      <c r="W384" s="25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customFormat="false" ht="15" hidden="false" customHeight="false" outlineLevel="0" collapsed="false">
      <c r="A385" s="21"/>
      <c r="B385" s="21"/>
      <c r="C385" s="21"/>
      <c r="D385" s="21"/>
      <c r="E385" s="21"/>
      <c r="F385" s="21"/>
      <c r="G385" s="21"/>
      <c r="H385" s="21"/>
      <c r="I385" s="21"/>
      <c r="J385" s="22"/>
      <c r="K385" s="22"/>
      <c r="L385" s="22"/>
      <c r="M385" s="22"/>
      <c r="N385" s="23" t="str">
        <f aca="false">IF(C385="","",SUM(J385:M385))</f>
        <v/>
      </c>
      <c r="O385" s="24" t="str">
        <f aca="false">IF(C385="","",IF(OR(D385="Lucro Real",E385="Indústria",N385&gt;500),"A",IF(OR(D385="Lucro Presumido",I385="S",N385&gt;=100),"B","C")))</f>
        <v/>
      </c>
      <c r="P385" s="21"/>
      <c r="Q385" s="24" t="str">
        <f aca="false">IF(C385="","",IF(P385&lt;&gt;"",P385,O385))</f>
        <v/>
      </c>
      <c r="R385" s="21"/>
      <c r="S385" s="21"/>
      <c r="T385" s="25"/>
      <c r="U385" s="23" t="str">
        <f aca="true">IF(T385="","",T385-TODAY())</f>
        <v/>
      </c>
      <c r="V385" s="21"/>
      <c r="W385" s="25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customFormat="false" ht="15" hidden="false" customHeight="false" outlineLevel="0" collapsed="false">
      <c r="A386" s="21"/>
      <c r="B386" s="21"/>
      <c r="C386" s="21"/>
      <c r="D386" s="21"/>
      <c r="E386" s="21"/>
      <c r="F386" s="21"/>
      <c r="G386" s="21"/>
      <c r="H386" s="21"/>
      <c r="I386" s="21"/>
      <c r="J386" s="22"/>
      <c r="K386" s="22"/>
      <c r="L386" s="22"/>
      <c r="M386" s="22"/>
      <c r="N386" s="23" t="str">
        <f aca="false">IF(C386="","",SUM(J386:M386))</f>
        <v/>
      </c>
      <c r="O386" s="24" t="str">
        <f aca="false">IF(C386="","",IF(OR(D386="Lucro Real",E386="Indústria",N386&gt;500),"A",IF(OR(D386="Lucro Presumido",I386="S",N386&gt;=100),"B","C")))</f>
        <v/>
      </c>
      <c r="P386" s="21"/>
      <c r="Q386" s="24" t="str">
        <f aca="false">IF(C386="","",IF(P386&lt;&gt;"",P386,O386))</f>
        <v/>
      </c>
      <c r="R386" s="21"/>
      <c r="S386" s="21"/>
      <c r="T386" s="25"/>
      <c r="U386" s="23" t="str">
        <f aca="true">IF(T386="","",T386-TODAY())</f>
        <v/>
      </c>
      <c r="V386" s="21"/>
      <c r="W386" s="25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customFormat="false" ht="15" hidden="false" customHeight="false" outlineLevel="0" collapsed="false">
      <c r="A387" s="21"/>
      <c r="B387" s="21"/>
      <c r="C387" s="21"/>
      <c r="D387" s="21"/>
      <c r="E387" s="21"/>
      <c r="F387" s="21"/>
      <c r="G387" s="21"/>
      <c r="H387" s="21"/>
      <c r="I387" s="21"/>
      <c r="J387" s="22"/>
      <c r="K387" s="22"/>
      <c r="L387" s="22"/>
      <c r="M387" s="22"/>
      <c r="N387" s="23" t="str">
        <f aca="false">IF(C387="","",SUM(J387:M387))</f>
        <v/>
      </c>
      <c r="O387" s="24" t="str">
        <f aca="false">IF(C387="","",IF(OR(D387="Lucro Real",E387="Indústria",N387&gt;500),"A",IF(OR(D387="Lucro Presumido",I387="S",N387&gt;=100),"B","C")))</f>
        <v/>
      </c>
      <c r="P387" s="21"/>
      <c r="Q387" s="24" t="str">
        <f aca="false">IF(C387="","",IF(P387&lt;&gt;"",P387,O387))</f>
        <v/>
      </c>
      <c r="R387" s="21"/>
      <c r="S387" s="21"/>
      <c r="T387" s="25"/>
      <c r="U387" s="23" t="str">
        <f aca="true">IF(T387="","",T387-TODAY())</f>
        <v/>
      </c>
      <c r="V387" s="21"/>
      <c r="W387" s="25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customFormat="false" ht="15" hidden="false" customHeight="false" outlineLevel="0" collapsed="false">
      <c r="A388" s="21"/>
      <c r="B388" s="21"/>
      <c r="C388" s="21"/>
      <c r="D388" s="21"/>
      <c r="E388" s="21"/>
      <c r="F388" s="21"/>
      <c r="G388" s="21"/>
      <c r="H388" s="21"/>
      <c r="I388" s="21"/>
      <c r="J388" s="22"/>
      <c r="K388" s="22"/>
      <c r="L388" s="22"/>
      <c r="M388" s="22"/>
      <c r="N388" s="23" t="str">
        <f aca="false">IF(C388="","",SUM(J388:M388))</f>
        <v/>
      </c>
      <c r="O388" s="24" t="str">
        <f aca="false">IF(C388="","",IF(OR(D388="Lucro Real",E388="Indústria",N388&gt;500),"A",IF(OR(D388="Lucro Presumido",I388="S",N388&gt;=100),"B","C")))</f>
        <v/>
      </c>
      <c r="P388" s="21"/>
      <c r="Q388" s="24" t="str">
        <f aca="false">IF(C388="","",IF(P388&lt;&gt;"",P388,O388))</f>
        <v/>
      </c>
      <c r="R388" s="21"/>
      <c r="S388" s="21"/>
      <c r="T388" s="25"/>
      <c r="U388" s="23" t="str">
        <f aca="true">IF(T388="","",T388-TODAY())</f>
        <v/>
      </c>
      <c r="V388" s="21"/>
      <c r="W388" s="25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customFormat="false" ht="15" hidden="false" customHeight="false" outlineLevel="0" collapsed="false">
      <c r="A389" s="21"/>
      <c r="B389" s="21"/>
      <c r="C389" s="21"/>
      <c r="D389" s="21"/>
      <c r="E389" s="21"/>
      <c r="F389" s="21"/>
      <c r="G389" s="21"/>
      <c r="H389" s="21"/>
      <c r="I389" s="21"/>
      <c r="J389" s="22"/>
      <c r="K389" s="22"/>
      <c r="L389" s="22"/>
      <c r="M389" s="22"/>
      <c r="N389" s="23" t="str">
        <f aca="false">IF(C389="","",SUM(J389:M389))</f>
        <v/>
      </c>
      <c r="O389" s="24" t="str">
        <f aca="false">IF(C389="","",IF(OR(D389="Lucro Real",E389="Indústria",N389&gt;500),"A",IF(OR(D389="Lucro Presumido",I389="S",N389&gt;=100),"B","C")))</f>
        <v/>
      </c>
      <c r="P389" s="21"/>
      <c r="Q389" s="24" t="str">
        <f aca="false">IF(C389="","",IF(P389&lt;&gt;"",P389,O389))</f>
        <v/>
      </c>
      <c r="R389" s="21"/>
      <c r="S389" s="21"/>
      <c r="T389" s="25"/>
      <c r="U389" s="23" t="str">
        <f aca="true">IF(T389="","",T389-TODAY())</f>
        <v/>
      </c>
      <c r="V389" s="21"/>
      <c r="W389" s="25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customFormat="false" ht="15" hidden="false" customHeight="false" outlineLevel="0" collapsed="false">
      <c r="A390" s="21"/>
      <c r="B390" s="21"/>
      <c r="C390" s="21"/>
      <c r="D390" s="21"/>
      <c r="E390" s="21"/>
      <c r="F390" s="21"/>
      <c r="G390" s="21"/>
      <c r="H390" s="21"/>
      <c r="I390" s="21"/>
      <c r="J390" s="22"/>
      <c r="K390" s="22"/>
      <c r="L390" s="22"/>
      <c r="M390" s="22"/>
      <c r="N390" s="23" t="str">
        <f aca="false">IF(C390="","",SUM(J390:M390))</f>
        <v/>
      </c>
      <c r="O390" s="24" t="str">
        <f aca="false">IF(C390="","",IF(OR(D390="Lucro Real",E390="Indústria",N390&gt;500),"A",IF(OR(D390="Lucro Presumido",I390="S",N390&gt;=100),"B","C")))</f>
        <v/>
      </c>
      <c r="P390" s="21"/>
      <c r="Q390" s="24" t="str">
        <f aca="false">IF(C390="","",IF(P390&lt;&gt;"",P390,O390))</f>
        <v/>
      </c>
      <c r="R390" s="21"/>
      <c r="S390" s="21"/>
      <c r="T390" s="25"/>
      <c r="U390" s="23" t="str">
        <f aca="true">IF(T390="","",T390-TODAY())</f>
        <v/>
      </c>
      <c r="V390" s="21"/>
      <c r="W390" s="25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customFormat="false" ht="15" hidden="false" customHeight="false" outlineLevel="0" collapsed="false">
      <c r="A391" s="21"/>
      <c r="B391" s="21"/>
      <c r="C391" s="21"/>
      <c r="D391" s="21"/>
      <c r="E391" s="21"/>
      <c r="F391" s="21"/>
      <c r="G391" s="21"/>
      <c r="H391" s="21"/>
      <c r="I391" s="21"/>
      <c r="J391" s="22"/>
      <c r="K391" s="22"/>
      <c r="L391" s="22"/>
      <c r="M391" s="22"/>
      <c r="N391" s="23" t="str">
        <f aca="false">IF(C391="","",SUM(J391:M391))</f>
        <v/>
      </c>
      <c r="O391" s="24" t="str">
        <f aca="false">IF(C391="","",IF(OR(D391="Lucro Real",E391="Indústria",N391&gt;500),"A",IF(OR(D391="Lucro Presumido",I391="S",N391&gt;=100),"B","C")))</f>
        <v/>
      </c>
      <c r="P391" s="21"/>
      <c r="Q391" s="24" t="str">
        <f aca="false">IF(C391="","",IF(P391&lt;&gt;"",P391,O391))</f>
        <v/>
      </c>
      <c r="R391" s="21"/>
      <c r="S391" s="21"/>
      <c r="T391" s="25"/>
      <c r="U391" s="23" t="str">
        <f aca="true">IF(T391="","",T391-TODAY())</f>
        <v/>
      </c>
      <c r="V391" s="21"/>
      <c r="W391" s="25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customFormat="false" ht="15" hidden="false" customHeight="false" outlineLevel="0" collapsed="false">
      <c r="A392" s="21"/>
      <c r="B392" s="21"/>
      <c r="C392" s="21"/>
      <c r="D392" s="21"/>
      <c r="E392" s="21"/>
      <c r="F392" s="21"/>
      <c r="G392" s="21"/>
      <c r="H392" s="21"/>
      <c r="I392" s="21"/>
      <c r="J392" s="22"/>
      <c r="K392" s="22"/>
      <c r="L392" s="22"/>
      <c r="M392" s="22"/>
      <c r="N392" s="23" t="str">
        <f aca="false">IF(C392="","",SUM(J392:M392))</f>
        <v/>
      </c>
      <c r="O392" s="24" t="str">
        <f aca="false">IF(C392="","",IF(OR(D392="Lucro Real",E392="Indústria",N392&gt;500),"A",IF(OR(D392="Lucro Presumido",I392="S",N392&gt;=100),"B","C")))</f>
        <v/>
      </c>
      <c r="P392" s="21"/>
      <c r="Q392" s="24" t="str">
        <f aca="false">IF(C392="","",IF(P392&lt;&gt;"",P392,O392))</f>
        <v/>
      </c>
      <c r="R392" s="21"/>
      <c r="S392" s="21"/>
      <c r="T392" s="25"/>
      <c r="U392" s="23" t="str">
        <f aca="true">IF(T392="","",T392-TODAY())</f>
        <v/>
      </c>
      <c r="V392" s="21"/>
      <c r="W392" s="25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customFormat="false" ht="15" hidden="false" customHeight="false" outlineLevel="0" collapsed="false">
      <c r="A393" s="21"/>
      <c r="B393" s="21"/>
      <c r="C393" s="21"/>
      <c r="D393" s="21"/>
      <c r="E393" s="21"/>
      <c r="F393" s="21"/>
      <c r="G393" s="21"/>
      <c r="H393" s="21"/>
      <c r="I393" s="21"/>
      <c r="J393" s="22"/>
      <c r="K393" s="22"/>
      <c r="L393" s="22"/>
      <c r="M393" s="22"/>
      <c r="N393" s="23" t="str">
        <f aca="false">IF(C393="","",SUM(J393:M393))</f>
        <v/>
      </c>
      <c r="O393" s="24" t="str">
        <f aca="false">IF(C393="","",IF(OR(D393="Lucro Real",E393="Indústria",N393&gt;500),"A",IF(OR(D393="Lucro Presumido",I393="S",N393&gt;=100),"B","C")))</f>
        <v/>
      </c>
      <c r="P393" s="21"/>
      <c r="Q393" s="24" t="str">
        <f aca="false">IF(C393="","",IF(P393&lt;&gt;"",P393,O393))</f>
        <v/>
      </c>
      <c r="R393" s="21"/>
      <c r="S393" s="21"/>
      <c r="T393" s="25"/>
      <c r="U393" s="23" t="str">
        <f aca="true">IF(T393="","",T393-TODAY())</f>
        <v/>
      </c>
      <c r="V393" s="21"/>
      <c r="W393" s="25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customFormat="false" ht="15" hidden="false" customHeight="false" outlineLevel="0" collapsed="false">
      <c r="A394" s="21"/>
      <c r="B394" s="21"/>
      <c r="C394" s="21"/>
      <c r="D394" s="21"/>
      <c r="E394" s="21"/>
      <c r="F394" s="21"/>
      <c r="G394" s="21"/>
      <c r="H394" s="21"/>
      <c r="I394" s="21"/>
      <c r="J394" s="22"/>
      <c r="K394" s="22"/>
      <c r="L394" s="22"/>
      <c r="M394" s="22"/>
      <c r="N394" s="23" t="str">
        <f aca="false">IF(C394="","",SUM(J394:M394))</f>
        <v/>
      </c>
      <c r="O394" s="24" t="str">
        <f aca="false">IF(C394="","",IF(OR(D394="Lucro Real",E394="Indústria",N394&gt;500),"A",IF(OR(D394="Lucro Presumido",I394="S",N394&gt;=100),"B","C")))</f>
        <v/>
      </c>
      <c r="P394" s="21"/>
      <c r="Q394" s="24" t="str">
        <f aca="false">IF(C394="","",IF(P394&lt;&gt;"",P394,O394))</f>
        <v/>
      </c>
      <c r="R394" s="21"/>
      <c r="S394" s="21"/>
      <c r="T394" s="25"/>
      <c r="U394" s="23" t="str">
        <f aca="true">IF(T394="","",T394-TODAY())</f>
        <v/>
      </c>
      <c r="V394" s="21"/>
      <c r="W394" s="25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customFormat="false" ht="15" hidden="false" customHeight="false" outlineLevel="0" collapsed="false">
      <c r="A395" s="21"/>
      <c r="B395" s="21"/>
      <c r="C395" s="21"/>
      <c r="D395" s="21"/>
      <c r="E395" s="21"/>
      <c r="F395" s="21"/>
      <c r="G395" s="21"/>
      <c r="H395" s="21"/>
      <c r="I395" s="21"/>
      <c r="J395" s="22"/>
      <c r="K395" s="22"/>
      <c r="L395" s="22"/>
      <c r="M395" s="22"/>
      <c r="N395" s="23" t="str">
        <f aca="false">IF(C395="","",SUM(J395:M395))</f>
        <v/>
      </c>
      <c r="O395" s="24" t="str">
        <f aca="false">IF(C395="","",IF(OR(D395="Lucro Real",E395="Indústria",N395&gt;500),"A",IF(OR(D395="Lucro Presumido",I395="S",N395&gt;=100),"B","C")))</f>
        <v/>
      </c>
      <c r="P395" s="21"/>
      <c r="Q395" s="24" t="str">
        <f aca="false">IF(C395="","",IF(P395&lt;&gt;"",P395,O395))</f>
        <v/>
      </c>
      <c r="R395" s="21"/>
      <c r="S395" s="21"/>
      <c r="T395" s="25"/>
      <c r="U395" s="23" t="str">
        <f aca="true">IF(T395="","",T395-TODAY())</f>
        <v/>
      </c>
      <c r="V395" s="21"/>
      <c r="W395" s="25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customFormat="false" ht="15" hidden="false" customHeight="false" outlineLevel="0" collapsed="false">
      <c r="A396" s="21"/>
      <c r="B396" s="21"/>
      <c r="C396" s="21"/>
      <c r="D396" s="21"/>
      <c r="E396" s="21"/>
      <c r="F396" s="21"/>
      <c r="G396" s="21"/>
      <c r="H396" s="21"/>
      <c r="I396" s="21"/>
      <c r="J396" s="22"/>
      <c r="K396" s="22"/>
      <c r="L396" s="22"/>
      <c r="M396" s="22"/>
      <c r="N396" s="23" t="str">
        <f aca="false">IF(C396="","",SUM(J396:M396))</f>
        <v/>
      </c>
      <c r="O396" s="24" t="str">
        <f aca="false">IF(C396="","",IF(OR(D396="Lucro Real",E396="Indústria",N396&gt;500),"A",IF(OR(D396="Lucro Presumido",I396="S",N396&gt;=100),"B","C")))</f>
        <v/>
      </c>
      <c r="P396" s="21"/>
      <c r="Q396" s="24" t="str">
        <f aca="false">IF(C396="","",IF(P396&lt;&gt;"",P396,O396))</f>
        <v/>
      </c>
      <c r="R396" s="21"/>
      <c r="S396" s="21"/>
      <c r="T396" s="25"/>
      <c r="U396" s="23" t="str">
        <f aca="true">IF(T396="","",T396-TODAY())</f>
        <v/>
      </c>
      <c r="V396" s="21"/>
      <c r="W396" s="25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customFormat="false" ht="15" hidden="false" customHeight="false" outlineLevel="0" collapsed="false">
      <c r="A397" s="21"/>
      <c r="B397" s="21"/>
      <c r="C397" s="21"/>
      <c r="D397" s="21"/>
      <c r="E397" s="21"/>
      <c r="F397" s="21"/>
      <c r="G397" s="21"/>
      <c r="H397" s="21"/>
      <c r="I397" s="21"/>
      <c r="J397" s="22"/>
      <c r="K397" s="22"/>
      <c r="L397" s="22"/>
      <c r="M397" s="22"/>
      <c r="N397" s="23" t="str">
        <f aca="false">IF(C397="","",SUM(J397:M397))</f>
        <v/>
      </c>
      <c r="O397" s="24" t="str">
        <f aca="false">IF(C397="","",IF(OR(D397="Lucro Real",E397="Indústria",N397&gt;500),"A",IF(OR(D397="Lucro Presumido",I397="S",N397&gt;=100),"B","C")))</f>
        <v/>
      </c>
      <c r="P397" s="21"/>
      <c r="Q397" s="24" t="str">
        <f aca="false">IF(C397="","",IF(P397&lt;&gt;"",P397,O397))</f>
        <v/>
      </c>
      <c r="R397" s="21"/>
      <c r="S397" s="21"/>
      <c r="T397" s="25"/>
      <c r="U397" s="23" t="str">
        <f aca="true">IF(T397="","",T397-TODAY())</f>
        <v/>
      </c>
      <c r="V397" s="21"/>
      <c r="W397" s="25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customFormat="false" ht="15" hidden="false" customHeight="false" outlineLevel="0" collapsed="false">
      <c r="A398" s="21"/>
      <c r="B398" s="21"/>
      <c r="C398" s="21"/>
      <c r="D398" s="21"/>
      <c r="E398" s="21"/>
      <c r="F398" s="21"/>
      <c r="G398" s="21"/>
      <c r="H398" s="21"/>
      <c r="I398" s="21"/>
      <c r="J398" s="22"/>
      <c r="K398" s="22"/>
      <c r="L398" s="22"/>
      <c r="M398" s="22"/>
      <c r="N398" s="23" t="str">
        <f aca="false">IF(C398="","",SUM(J398:M398))</f>
        <v/>
      </c>
      <c r="O398" s="24" t="str">
        <f aca="false">IF(C398="","",IF(OR(D398="Lucro Real",E398="Indústria",N398&gt;500),"A",IF(OR(D398="Lucro Presumido",I398="S",N398&gt;=100),"B","C")))</f>
        <v/>
      </c>
      <c r="P398" s="21"/>
      <c r="Q398" s="24" t="str">
        <f aca="false">IF(C398="","",IF(P398&lt;&gt;"",P398,O398))</f>
        <v/>
      </c>
      <c r="R398" s="21"/>
      <c r="S398" s="21"/>
      <c r="T398" s="25"/>
      <c r="U398" s="23" t="str">
        <f aca="true">IF(T398="","",T398-TODAY())</f>
        <v/>
      </c>
      <c r="V398" s="21"/>
      <c r="W398" s="25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customFormat="false" ht="15" hidden="false" customHeight="false" outlineLevel="0" collapsed="false">
      <c r="A399" s="21"/>
      <c r="B399" s="21"/>
      <c r="C399" s="21"/>
      <c r="D399" s="21"/>
      <c r="E399" s="21"/>
      <c r="F399" s="21"/>
      <c r="G399" s="21"/>
      <c r="H399" s="21"/>
      <c r="I399" s="21"/>
      <c r="J399" s="22"/>
      <c r="K399" s="22"/>
      <c r="L399" s="22"/>
      <c r="M399" s="22"/>
      <c r="N399" s="23" t="str">
        <f aca="false">IF(C399="","",SUM(J399:M399))</f>
        <v/>
      </c>
      <c r="O399" s="24" t="str">
        <f aca="false">IF(C399="","",IF(OR(D399="Lucro Real",E399="Indústria",N399&gt;500),"A",IF(OR(D399="Lucro Presumido",I399="S",N399&gt;=100),"B","C")))</f>
        <v/>
      </c>
      <c r="P399" s="21"/>
      <c r="Q399" s="24" t="str">
        <f aca="false">IF(C399="","",IF(P399&lt;&gt;"",P399,O399))</f>
        <v/>
      </c>
      <c r="R399" s="21"/>
      <c r="S399" s="21"/>
      <c r="T399" s="25"/>
      <c r="U399" s="23" t="str">
        <f aca="true">IF(T399="","",T399-TODAY())</f>
        <v/>
      </c>
      <c r="V399" s="21"/>
      <c r="W399" s="25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customFormat="false" ht="15" hidden="false" customHeight="false" outlineLevel="0" collapsed="false">
      <c r="A400" s="21"/>
      <c r="B400" s="21"/>
      <c r="C400" s="21"/>
      <c r="D400" s="21"/>
      <c r="E400" s="21"/>
      <c r="F400" s="21"/>
      <c r="G400" s="21"/>
      <c r="H400" s="21"/>
      <c r="I400" s="21"/>
      <c r="J400" s="22"/>
      <c r="K400" s="22"/>
      <c r="L400" s="22"/>
      <c r="M400" s="22"/>
      <c r="N400" s="23" t="str">
        <f aca="false">IF(C400="","",SUM(J400:M400))</f>
        <v/>
      </c>
      <c r="O400" s="24" t="str">
        <f aca="false">IF(C400="","",IF(OR(D400="Lucro Real",E400="Indústria",N400&gt;500),"A",IF(OR(D400="Lucro Presumido",I400="S",N400&gt;=100),"B","C")))</f>
        <v/>
      </c>
      <c r="P400" s="21"/>
      <c r="Q400" s="24" t="str">
        <f aca="false">IF(C400="","",IF(P400&lt;&gt;"",P400,O400))</f>
        <v/>
      </c>
      <c r="R400" s="21"/>
      <c r="S400" s="21"/>
      <c r="T400" s="25"/>
      <c r="U400" s="23" t="str">
        <f aca="true">IF(T400="","",T400-TODAY())</f>
        <v/>
      </c>
      <c r="V400" s="21"/>
      <c r="W400" s="25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customFormat="false" ht="15" hidden="false" customHeight="false" outlineLevel="0" collapsed="false">
      <c r="A401" s="21"/>
      <c r="B401" s="21"/>
      <c r="C401" s="21"/>
      <c r="D401" s="21"/>
      <c r="E401" s="21"/>
      <c r="F401" s="21"/>
      <c r="G401" s="21"/>
      <c r="H401" s="21"/>
      <c r="I401" s="21"/>
      <c r="J401" s="22"/>
      <c r="K401" s="22"/>
      <c r="L401" s="22"/>
      <c r="M401" s="22"/>
      <c r="N401" s="23" t="str">
        <f aca="false">IF(C401="","",SUM(J401:M401))</f>
        <v/>
      </c>
      <c r="O401" s="24" t="str">
        <f aca="false">IF(C401="","",IF(OR(D401="Lucro Real",E401="Indústria",N401&gt;500),"A",IF(OR(D401="Lucro Presumido",I401="S",N401&gt;=100),"B","C")))</f>
        <v/>
      </c>
      <c r="P401" s="21"/>
      <c r="Q401" s="24" t="str">
        <f aca="false">IF(C401="","",IF(P401&lt;&gt;"",P401,O401))</f>
        <v/>
      </c>
      <c r="R401" s="21"/>
      <c r="S401" s="21"/>
      <c r="T401" s="25"/>
      <c r="U401" s="23" t="str">
        <f aca="true">IF(T401="","",T401-TODAY())</f>
        <v/>
      </c>
      <c r="V401" s="21"/>
      <c r="W401" s="25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customFormat="false" ht="15" hidden="false" customHeight="false" outlineLevel="0" collapsed="false">
      <c r="A402" s="21"/>
      <c r="B402" s="21"/>
      <c r="C402" s="21"/>
      <c r="D402" s="21"/>
      <c r="E402" s="21"/>
      <c r="F402" s="21"/>
      <c r="G402" s="21"/>
      <c r="H402" s="21"/>
      <c r="I402" s="21"/>
      <c r="J402" s="22"/>
      <c r="K402" s="22"/>
      <c r="L402" s="22"/>
      <c r="M402" s="22"/>
      <c r="N402" s="23" t="str">
        <f aca="false">IF(C402="","",SUM(J402:M402))</f>
        <v/>
      </c>
      <c r="O402" s="24" t="str">
        <f aca="false">IF(C402="","",IF(OR(D402="Lucro Real",E402="Indústria",N402&gt;500),"A",IF(OR(D402="Lucro Presumido",I402="S",N402&gt;=100),"B","C")))</f>
        <v/>
      </c>
      <c r="P402" s="21"/>
      <c r="Q402" s="24" t="str">
        <f aca="false">IF(C402="","",IF(P402&lt;&gt;"",P402,O402))</f>
        <v/>
      </c>
      <c r="R402" s="21"/>
      <c r="S402" s="21"/>
      <c r="T402" s="25"/>
      <c r="U402" s="23" t="str">
        <f aca="true">IF(T402="","",T402-TODAY())</f>
        <v/>
      </c>
      <c r="V402" s="21"/>
      <c r="W402" s="25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customFormat="false" ht="15" hidden="false" customHeight="false" outlineLevel="0" collapsed="false">
      <c r="A403" s="21"/>
      <c r="B403" s="21"/>
      <c r="C403" s="21"/>
      <c r="D403" s="21"/>
      <c r="E403" s="21"/>
      <c r="F403" s="21"/>
      <c r="G403" s="21"/>
      <c r="H403" s="21"/>
      <c r="I403" s="21"/>
      <c r="J403" s="22"/>
      <c r="K403" s="22"/>
      <c r="L403" s="22"/>
      <c r="M403" s="22"/>
      <c r="N403" s="23" t="str">
        <f aca="false">IF(C403="","",SUM(J403:M403))</f>
        <v/>
      </c>
      <c r="O403" s="24" t="str">
        <f aca="false">IF(C403="","",IF(OR(D403="Lucro Real",E403="Indústria",N403&gt;500),"A",IF(OR(D403="Lucro Presumido",I403="S",N403&gt;=100),"B","C")))</f>
        <v/>
      </c>
      <c r="P403" s="21"/>
      <c r="Q403" s="24" t="str">
        <f aca="false">IF(C403="","",IF(P403&lt;&gt;"",P403,O403))</f>
        <v/>
      </c>
      <c r="R403" s="21"/>
      <c r="S403" s="21"/>
      <c r="T403" s="25"/>
      <c r="U403" s="23" t="str">
        <f aca="true">IF(T403="","",T403-TODAY())</f>
        <v/>
      </c>
      <c r="V403" s="21"/>
      <c r="W403" s="25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customFormat="false" ht="15" hidden="false" customHeight="false" outlineLevel="0" collapsed="false">
      <c r="A404" s="21"/>
      <c r="B404" s="21"/>
      <c r="C404" s="21"/>
      <c r="D404" s="21"/>
      <c r="E404" s="21"/>
      <c r="F404" s="21"/>
      <c r="G404" s="21"/>
      <c r="H404" s="21"/>
      <c r="I404" s="21"/>
      <c r="J404" s="22"/>
      <c r="K404" s="22"/>
      <c r="L404" s="22"/>
      <c r="M404" s="22"/>
      <c r="N404" s="23" t="str">
        <f aca="false">IF(C404="","",SUM(J404:M404))</f>
        <v/>
      </c>
      <c r="O404" s="24" t="str">
        <f aca="false">IF(C404="","",IF(OR(D404="Lucro Real",E404="Indústria",N404&gt;500),"A",IF(OR(D404="Lucro Presumido",I404="S",N404&gt;=100),"B","C")))</f>
        <v/>
      </c>
      <c r="P404" s="21"/>
      <c r="Q404" s="24" t="str">
        <f aca="false">IF(C404="","",IF(P404&lt;&gt;"",P404,O404))</f>
        <v/>
      </c>
      <c r="R404" s="21"/>
      <c r="S404" s="21"/>
      <c r="T404" s="25"/>
      <c r="U404" s="23" t="str">
        <f aca="true">IF(T404="","",T404-TODAY())</f>
        <v/>
      </c>
      <c r="V404" s="21"/>
      <c r="W404" s="25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customFormat="false" ht="15" hidden="false" customHeight="false" outlineLevel="0" collapsed="false">
      <c r="A405" s="21"/>
      <c r="B405" s="21"/>
      <c r="C405" s="21"/>
      <c r="D405" s="21"/>
      <c r="E405" s="21"/>
      <c r="F405" s="21"/>
      <c r="G405" s="21"/>
      <c r="H405" s="21"/>
      <c r="I405" s="21"/>
      <c r="J405" s="22"/>
      <c r="K405" s="22"/>
      <c r="L405" s="22"/>
      <c r="M405" s="22"/>
      <c r="N405" s="23" t="str">
        <f aca="false">IF(C405="","",SUM(J405:M405))</f>
        <v/>
      </c>
      <c r="O405" s="24" t="str">
        <f aca="false">IF(C405="","",IF(OR(D405="Lucro Real",E405="Indústria",N405&gt;500),"A",IF(OR(D405="Lucro Presumido",I405="S",N405&gt;=100),"B","C")))</f>
        <v/>
      </c>
      <c r="P405" s="21"/>
      <c r="Q405" s="24" t="str">
        <f aca="false">IF(C405="","",IF(P405&lt;&gt;"",P405,O405))</f>
        <v/>
      </c>
      <c r="R405" s="21"/>
      <c r="S405" s="21"/>
      <c r="T405" s="25"/>
      <c r="U405" s="23" t="str">
        <f aca="true">IF(T405="","",T405-TODAY())</f>
        <v/>
      </c>
      <c r="V405" s="21"/>
      <c r="W405" s="25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customFormat="false" ht="15" hidden="false" customHeight="false" outlineLevel="0" collapsed="false">
      <c r="A406" s="21"/>
      <c r="B406" s="21"/>
      <c r="C406" s="21"/>
      <c r="D406" s="21"/>
      <c r="E406" s="21"/>
      <c r="F406" s="21"/>
      <c r="G406" s="21"/>
      <c r="H406" s="21"/>
      <c r="I406" s="21"/>
      <c r="J406" s="22"/>
      <c r="K406" s="22"/>
      <c r="L406" s="22"/>
      <c r="M406" s="22"/>
      <c r="N406" s="23" t="str">
        <f aca="false">IF(C406="","",SUM(J406:M406))</f>
        <v/>
      </c>
      <c r="O406" s="24" t="str">
        <f aca="false">IF(C406="","",IF(OR(D406="Lucro Real",E406="Indústria",N406&gt;500),"A",IF(OR(D406="Lucro Presumido",I406="S",N406&gt;=100),"B","C")))</f>
        <v/>
      </c>
      <c r="P406" s="21"/>
      <c r="Q406" s="24" t="str">
        <f aca="false">IF(C406="","",IF(P406&lt;&gt;"",P406,O406))</f>
        <v/>
      </c>
      <c r="R406" s="21"/>
      <c r="S406" s="21"/>
      <c r="T406" s="25"/>
      <c r="U406" s="23" t="str">
        <f aca="true">IF(T406="","",T406-TODAY())</f>
        <v/>
      </c>
      <c r="V406" s="21"/>
      <c r="W406" s="25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customFormat="false" ht="15" hidden="false" customHeight="false" outlineLevel="0" collapsed="false">
      <c r="A407" s="21"/>
      <c r="B407" s="21"/>
      <c r="C407" s="21"/>
      <c r="D407" s="21"/>
      <c r="E407" s="21"/>
      <c r="F407" s="21"/>
      <c r="G407" s="21"/>
      <c r="H407" s="21"/>
      <c r="I407" s="21"/>
      <c r="J407" s="22"/>
      <c r="K407" s="22"/>
      <c r="L407" s="22"/>
      <c r="M407" s="22"/>
      <c r="N407" s="23" t="str">
        <f aca="false">IF(C407="","",SUM(J407:M407))</f>
        <v/>
      </c>
      <c r="O407" s="24" t="str">
        <f aca="false">IF(C407="","",IF(OR(D407="Lucro Real",E407="Indústria",N407&gt;500),"A",IF(OR(D407="Lucro Presumido",I407="S",N407&gt;=100),"B","C")))</f>
        <v/>
      </c>
      <c r="P407" s="21"/>
      <c r="Q407" s="24" t="str">
        <f aca="false">IF(C407="","",IF(P407&lt;&gt;"",P407,O407))</f>
        <v/>
      </c>
      <c r="R407" s="21"/>
      <c r="S407" s="21"/>
      <c r="T407" s="25"/>
      <c r="U407" s="23" t="str">
        <f aca="true">IF(T407="","",T407-TODAY())</f>
        <v/>
      </c>
      <c r="V407" s="21"/>
      <c r="W407" s="25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customFormat="false" ht="15" hidden="false" customHeight="false" outlineLevel="0" collapsed="false">
      <c r="A408" s="21"/>
      <c r="B408" s="21"/>
      <c r="C408" s="21"/>
      <c r="D408" s="21"/>
      <c r="E408" s="21"/>
      <c r="F408" s="21"/>
      <c r="G408" s="21"/>
      <c r="H408" s="21"/>
      <c r="I408" s="21"/>
      <c r="J408" s="22"/>
      <c r="K408" s="22"/>
      <c r="L408" s="22"/>
      <c r="M408" s="22"/>
      <c r="N408" s="23" t="str">
        <f aca="false">IF(C408="","",SUM(J408:M408))</f>
        <v/>
      </c>
      <c r="O408" s="24" t="str">
        <f aca="false">IF(C408="","",IF(OR(D408="Lucro Real",E408="Indústria",N408&gt;500),"A",IF(OR(D408="Lucro Presumido",I408="S",N408&gt;=100),"B","C")))</f>
        <v/>
      </c>
      <c r="P408" s="21"/>
      <c r="Q408" s="24" t="str">
        <f aca="false">IF(C408="","",IF(P408&lt;&gt;"",P408,O408))</f>
        <v/>
      </c>
      <c r="R408" s="21"/>
      <c r="S408" s="21"/>
      <c r="T408" s="25"/>
      <c r="U408" s="23" t="str">
        <f aca="true">IF(T408="","",T408-TODAY())</f>
        <v/>
      </c>
      <c r="V408" s="21"/>
      <c r="W408" s="25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customFormat="false" ht="15" hidden="false" customHeight="false" outlineLevel="0" collapsed="false">
      <c r="A409" s="21"/>
      <c r="B409" s="21"/>
      <c r="C409" s="21"/>
      <c r="D409" s="21"/>
      <c r="E409" s="21"/>
      <c r="F409" s="21"/>
      <c r="G409" s="21"/>
      <c r="H409" s="21"/>
      <c r="I409" s="21"/>
      <c r="J409" s="22"/>
      <c r="K409" s="22"/>
      <c r="L409" s="22"/>
      <c r="M409" s="22"/>
      <c r="N409" s="23" t="str">
        <f aca="false">IF(C409="","",SUM(J409:M409))</f>
        <v/>
      </c>
      <c r="O409" s="24" t="str">
        <f aca="false">IF(C409="","",IF(OR(D409="Lucro Real",E409="Indústria",N409&gt;500),"A",IF(OR(D409="Lucro Presumido",I409="S",N409&gt;=100),"B","C")))</f>
        <v/>
      </c>
      <c r="P409" s="21"/>
      <c r="Q409" s="24" t="str">
        <f aca="false">IF(C409="","",IF(P409&lt;&gt;"",P409,O409))</f>
        <v/>
      </c>
      <c r="R409" s="21"/>
      <c r="S409" s="21"/>
      <c r="T409" s="25"/>
      <c r="U409" s="23" t="str">
        <f aca="true">IF(T409="","",T409-TODAY())</f>
        <v/>
      </c>
      <c r="V409" s="21"/>
      <c r="W409" s="25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customFormat="false" ht="15" hidden="false" customHeight="false" outlineLevel="0" collapsed="false">
      <c r="A410" s="21"/>
      <c r="B410" s="21"/>
      <c r="C410" s="21"/>
      <c r="D410" s="21"/>
      <c r="E410" s="21"/>
      <c r="F410" s="21"/>
      <c r="G410" s="21"/>
      <c r="H410" s="21"/>
      <c r="I410" s="21"/>
      <c r="J410" s="22"/>
      <c r="K410" s="22"/>
      <c r="L410" s="22"/>
      <c r="M410" s="22"/>
      <c r="N410" s="23" t="str">
        <f aca="false">IF(C410="","",SUM(J410:M410))</f>
        <v/>
      </c>
      <c r="O410" s="24" t="str">
        <f aca="false">IF(C410="","",IF(OR(D410="Lucro Real",E410="Indústria",N410&gt;500),"A",IF(OR(D410="Lucro Presumido",I410="S",N410&gt;=100),"B","C")))</f>
        <v/>
      </c>
      <c r="P410" s="21"/>
      <c r="Q410" s="24" t="str">
        <f aca="false">IF(C410="","",IF(P410&lt;&gt;"",P410,O410))</f>
        <v/>
      </c>
      <c r="R410" s="21"/>
      <c r="S410" s="21"/>
      <c r="T410" s="25"/>
      <c r="U410" s="23" t="str">
        <f aca="true">IF(T410="","",T410-TODAY())</f>
        <v/>
      </c>
      <c r="V410" s="21"/>
      <c r="W410" s="25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customFormat="false" ht="15" hidden="false" customHeight="false" outlineLevel="0" collapsed="false">
      <c r="A411" s="21"/>
      <c r="B411" s="21"/>
      <c r="C411" s="21"/>
      <c r="D411" s="21"/>
      <c r="E411" s="21"/>
      <c r="F411" s="21"/>
      <c r="G411" s="21"/>
      <c r="H411" s="21"/>
      <c r="I411" s="21"/>
      <c r="J411" s="22"/>
      <c r="K411" s="22"/>
      <c r="L411" s="22"/>
      <c r="M411" s="22"/>
      <c r="N411" s="23" t="str">
        <f aca="false">IF(C411="","",SUM(J411:M411))</f>
        <v/>
      </c>
      <c r="O411" s="24" t="str">
        <f aca="false">IF(C411="","",IF(OR(D411="Lucro Real",E411="Indústria",N411&gt;500),"A",IF(OR(D411="Lucro Presumido",I411="S",N411&gt;=100),"B","C")))</f>
        <v/>
      </c>
      <c r="P411" s="21"/>
      <c r="Q411" s="24" t="str">
        <f aca="false">IF(C411="","",IF(P411&lt;&gt;"",P411,O411))</f>
        <v/>
      </c>
      <c r="R411" s="21"/>
      <c r="S411" s="21"/>
      <c r="T411" s="25"/>
      <c r="U411" s="23" t="str">
        <f aca="true">IF(T411="","",T411-TODAY())</f>
        <v/>
      </c>
      <c r="V411" s="21"/>
      <c r="W411" s="25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customFormat="false" ht="15" hidden="false" customHeight="false" outlineLevel="0" collapsed="false">
      <c r="A412" s="21"/>
      <c r="B412" s="21"/>
      <c r="C412" s="21"/>
      <c r="D412" s="21"/>
      <c r="E412" s="21"/>
      <c r="F412" s="21"/>
      <c r="G412" s="21"/>
      <c r="H412" s="21"/>
      <c r="I412" s="21"/>
      <c r="J412" s="22"/>
      <c r="K412" s="22"/>
      <c r="L412" s="22"/>
      <c r="M412" s="22"/>
      <c r="N412" s="23" t="str">
        <f aca="false">IF(C412="","",SUM(J412:M412))</f>
        <v/>
      </c>
      <c r="O412" s="24" t="str">
        <f aca="false">IF(C412="","",IF(OR(D412="Lucro Real",E412="Indústria",N412&gt;500),"A",IF(OR(D412="Lucro Presumido",I412="S",N412&gt;=100),"B","C")))</f>
        <v/>
      </c>
      <c r="P412" s="21"/>
      <c r="Q412" s="24" t="str">
        <f aca="false">IF(C412="","",IF(P412&lt;&gt;"",P412,O412))</f>
        <v/>
      </c>
      <c r="R412" s="21"/>
      <c r="S412" s="21"/>
      <c r="T412" s="25"/>
      <c r="U412" s="23" t="str">
        <f aca="true">IF(T412="","",T412-TODAY())</f>
        <v/>
      </c>
      <c r="V412" s="21"/>
      <c r="W412" s="25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customFormat="false" ht="15" hidden="false" customHeight="false" outlineLevel="0" collapsed="false">
      <c r="A413" s="21"/>
      <c r="B413" s="21"/>
      <c r="C413" s="21"/>
      <c r="D413" s="21"/>
      <c r="E413" s="21"/>
      <c r="F413" s="21"/>
      <c r="G413" s="21"/>
      <c r="H413" s="21"/>
      <c r="I413" s="21"/>
      <c r="J413" s="22"/>
      <c r="K413" s="22"/>
      <c r="L413" s="22"/>
      <c r="M413" s="22"/>
      <c r="N413" s="23" t="str">
        <f aca="false">IF(C413="","",SUM(J413:M413))</f>
        <v/>
      </c>
      <c r="O413" s="24" t="str">
        <f aca="false">IF(C413="","",IF(OR(D413="Lucro Real",E413="Indústria",N413&gt;500),"A",IF(OR(D413="Lucro Presumido",I413="S",N413&gt;=100),"B","C")))</f>
        <v/>
      </c>
      <c r="P413" s="21"/>
      <c r="Q413" s="24" t="str">
        <f aca="false">IF(C413="","",IF(P413&lt;&gt;"",P413,O413))</f>
        <v/>
      </c>
      <c r="R413" s="21"/>
      <c r="S413" s="21"/>
      <c r="T413" s="25"/>
      <c r="U413" s="23" t="str">
        <f aca="true">IF(T413="","",T413-TODAY())</f>
        <v/>
      </c>
      <c r="V413" s="21"/>
      <c r="W413" s="25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customFormat="false" ht="15" hidden="false" customHeight="false" outlineLevel="0" collapsed="false">
      <c r="A414" s="21"/>
      <c r="B414" s="21"/>
      <c r="C414" s="21"/>
      <c r="D414" s="21"/>
      <c r="E414" s="21"/>
      <c r="F414" s="21"/>
      <c r="G414" s="21"/>
      <c r="H414" s="21"/>
      <c r="I414" s="21"/>
      <c r="J414" s="22"/>
      <c r="K414" s="22"/>
      <c r="L414" s="22"/>
      <c r="M414" s="22"/>
      <c r="N414" s="23" t="str">
        <f aca="false">IF(C414="","",SUM(J414:M414))</f>
        <v/>
      </c>
      <c r="O414" s="24" t="str">
        <f aca="false">IF(C414="","",IF(OR(D414="Lucro Real",E414="Indústria",N414&gt;500),"A",IF(OR(D414="Lucro Presumido",I414="S",N414&gt;=100),"B","C")))</f>
        <v/>
      </c>
      <c r="P414" s="21"/>
      <c r="Q414" s="24" t="str">
        <f aca="false">IF(C414="","",IF(P414&lt;&gt;"",P414,O414))</f>
        <v/>
      </c>
      <c r="R414" s="21"/>
      <c r="S414" s="21"/>
      <c r="T414" s="25"/>
      <c r="U414" s="23" t="str">
        <f aca="true">IF(T414="","",T414-TODAY())</f>
        <v/>
      </c>
      <c r="V414" s="21"/>
      <c r="W414" s="25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customFormat="false" ht="15" hidden="false" customHeight="false" outlineLevel="0" collapsed="false">
      <c r="A415" s="21"/>
      <c r="B415" s="21"/>
      <c r="C415" s="21"/>
      <c r="D415" s="21"/>
      <c r="E415" s="21"/>
      <c r="F415" s="21"/>
      <c r="G415" s="21"/>
      <c r="H415" s="21"/>
      <c r="I415" s="21"/>
      <c r="J415" s="22"/>
      <c r="K415" s="22"/>
      <c r="L415" s="22"/>
      <c r="M415" s="22"/>
      <c r="N415" s="23" t="str">
        <f aca="false">IF(C415="","",SUM(J415:M415))</f>
        <v/>
      </c>
      <c r="O415" s="24" t="str">
        <f aca="false">IF(C415="","",IF(OR(D415="Lucro Real",E415="Indústria",N415&gt;500),"A",IF(OR(D415="Lucro Presumido",I415="S",N415&gt;=100),"B","C")))</f>
        <v/>
      </c>
      <c r="P415" s="21"/>
      <c r="Q415" s="24" t="str">
        <f aca="false">IF(C415="","",IF(P415&lt;&gt;"",P415,O415))</f>
        <v/>
      </c>
      <c r="R415" s="21"/>
      <c r="S415" s="21"/>
      <c r="T415" s="25"/>
      <c r="U415" s="23" t="str">
        <f aca="true">IF(T415="","",T415-TODAY())</f>
        <v/>
      </c>
      <c r="V415" s="21"/>
      <c r="W415" s="25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customFormat="false" ht="15" hidden="false" customHeight="false" outlineLevel="0" collapsed="false">
      <c r="A416" s="21"/>
      <c r="B416" s="21"/>
      <c r="C416" s="21"/>
      <c r="D416" s="21"/>
      <c r="E416" s="21"/>
      <c r="F416" s="21"/>
      <c r="G416" s="21"/>
      <c r="H416" s="21"/>
      <c r="I416" s="21"/>
      <c r="J416" s="22"/>
      <c r="K416" s="22"/>
      <c r="L416" s="22"/>
      <c r="M416" s="22"/>
      <c r="N416" s="23" t="str">
        <f aca="false">IF(C416="","",SUM(J416:M416))</f>
        <v/>
      </c>
      <c r="O416" s="24" t="str">
        <f aca="false">IF(C416="","",IF(OR(D416="Lucro Real",E416="Indústria",N416&gt;500),"A",IF(OR(D416="Lucro Presumido",I416="S",N416&gt;=100),"B","C")))</f>
        <v/>
      </c>
      <c r="P416" s="21"/>
      <c r="Q416" s="24" t="str">
        <f aca="false">IF(C416="","",IF(P416&lt;&gt;"",P416,O416))</f>
        <v/>
      </c>
      <c r="R416" s="21"/>
      <c r="S416" s="21"/>
      <c r="T416" s="25"/>
      <c r="U416" s="23" t="str">
        <f aca="true">IF(T416="","",T416-TODAY())</f>
        <v/>
      </c>
      <c r="V416" s="21"/>
      <c r="W416" s="25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customFormat="false" ht="15" hidden="false" customHeight="false" outlineLevel="0" collapsed="false">
      <c r="A417" s="21"/>
      <c r="B417" s="21"/>
      <c r="C417" s="21"/>
      <c r="D417" s="21"/>
      <c r="E417" s="21"/>
      <c r="F417" s="21"/>
      <c r="G417" s="21"/>
      <c r="H417" s="21"/>
      <c r="I417" s="21"/>
      <c r="J417" s="22"/>
      <c r="K417" s="22"/>
      <c r="L417" s="22"/>
      <c r="M417" s="22"/>
      <c r="N417" s="23" t="str">
        <f aca="false">IF(C417="","",SUM(J417:M417))</f>
        <v/>
      </c>
      <c r="O417" s="24" t="str">
        <f aca="false">IF(C417="","",IF(OR(D417="Lucro Real",E417="Indústria",N417&gt;500),"A",IF(OR(D417="Lucro Presumido",I417="S",N417&gt;=100),"B","C")))</f>
        <v/>
      </c>
      <c r="P417" s="21"/>
      <c r="Q417" s="24" t="str">
        <f aca="false">IF(C417="","",IF(P417&lt;&gt;"",P417,O417))</f>
        <v/>
      </c>
      <c r="R417" s="21"/>
      <c r="S417" s="21"/>
      <c r="T417" s="25"/>
      <c r="U417" s="23" t="str">
        <f aca="true">IF(T417="","",T417-TODAY())</f>
        <v/>
      </c>
      <c r="V417" s="21"/>
      <c r="W417" s="25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customFormat="false" ht="15" hidden="false" customHeight="false" outlineLevel="0" collapsed="false">
      <c r="A418" s="21"/>
      <c r="B418" s="21"/>
      <c r="C418" s="21"/>
      <c r="D418" s="21"/>
      <c r="E418" s="21"/>
      <c r="F418" s="21"/>
      <c r="G418" s="21"/>
      <c r="H418" s="21"/>
      <c r="I418" s="21"/>
      <c r="J418" s="22"/>
      <c r="K418" s="22"/>
      <c r="L418" s="22"/>
      <c r="M418" s="22"/>
      <c r="N418" s="23" t="str">
        <f aca="false">IF(C418="","",SUM(J418:M418))</f>
        <v/>
      </c>
      <c r="O418" s="24" t="str">
        <f aca="false">IF(C418="","",IF(OR(D418="Lucro Real",E418="Indústria",N418&gt;500),"A",IF(OR(D418="Lucro Presumido",I418="S",N418&gt;=100),"B","C")))</f>
        <v/>
      </c>
      <c r="P418" s="21"/>
      <c r="Q418" s="24" t="str">
        <f aca="false">IF(C418="","",IF(P418&lt;&gt;"",P418,O418))</f>
        <v/>
      </c>
      <c r="R418" s="21"/>
      <c r="S418" s="21"/>
      <c r="T418" s="25"/>
      <c r="U418" s="23" t="str">
        <f aca="true">IF(T418="","",T418-TODAY())</f>
        <v/>
      </c>
      <c r="V418" s="21"/>
      <c r="W418" s="25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customFormat="false" ht="15" hidden="false" customHeight="false" outlineLevel="0" collapsed="false">
      <c r="A419" s="21"/>
      <c r="B419" s="21"/>
      <c r="C419" s="21"/>
      <c r="D419" s="21"/>
      <c r="E419" s="21"/>
      <c r="F419" s="21"/>
      <c r="G419" s="21"/>
      <c r="H419" s="21"/>
      <c r="I419" s="21"/>
      <c r="J419" s="22"/>
      <c r="K419" s="22"/>
      <c r="L419" s="22"/>
      <c r="M419" s="22"/>
      <c r="N419" s="23" t="str">
        <f aca="false">IF(C419="","",SUM(J419:M419))</f>
        <v/>
      </c>
      <c r="O419" s="24" t="str">
        <f aca="false">IF(C419="","",IF(OR(D419="Lucro Real",E419="Indústria",N419&gt;500),"A",IF(OR(D419="Lucro Presumido",I419="S",N419&gt;=100),"B","C")))</f>
        <v/>
      </c>
      <c r="P419" s="21"/>
      <c r="Q419" s="24" t="str">
        <f aca="false">IF(C419="","",IF(P419&lt;&gt;"",P419,O419))</f>
        <v/>
      </c>
      <c r="R419" s="21"/>
      <c r="S419" s="21"/>
      <c r="T419" s="25"/>
      <c r="U419" s="23" t="str">
        <f aca="true">IF(T419="","",T419-TODAY())</f>
        <v/>
      </c>
      <c r="V419" s="21"/>
      <c r="W419" s="25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customFormat="false" ht="15" hidden="false" customHeight="false" outlineLevel="0" collapsed="false">
      <c r="A420" s="21"/>
      <c r="B420" s="21"/>
      <c r="C420" s="21"/>
      <c r="D420" s="21"/>
      <c r="E420" s="21"/>
      <c r="F420" s="21"/>
      <c r="G420" s="21"/>
      <c r="H420" s="21"/>
      <c r="I420" s="21"/>
      <c r="J420" s="22"/>
      <c r="K420" s="22"/>
      <c r="L420" s="22"/>
      <c r="M420" s="22"/>
      <c r="N420" s="23" t="str">
        <f aca="false">IF(C420="","",SUM(J420:M420))</f>
        <v/>
      </c>
      <c r="O420" s="24" t="str">
        <f aca="false">IF(C420="","",IF(OR(D420="Lucro Real",E420="Indústria",N420&gt;500),"A",IF(OR(D420="Lucro Presumido",I420="S",N420&gt;=100),"B","C")))</f>
        <v/>
      </c>
      <c r="P420" s="21"/>
      <c r="Q420" s="24" t="str">
        <f aca="false">IF(C420="","",IF(P420&lt;&gt;"",P420,O420))</f>
        <v/>
      </c>
      <c r="R420" s="21"/>
      <c r="S420" s="21"/>
      <c r="T420" s="25"/>
      <c r="U420" s="23" t="str">
        <f aca="true">IF(T420="","",T420-TODAY())</f>
        <v/>
      </c>
      <c r="V420" s="21"/>
      <c r="W420" s="25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customFormat="false" ht="15" hidden="false" customHeight="false" outlineLevel="0" collapsed="false">
      <c r="A421" s="21"/>
      <c r="B421" s="21"/>
      <c r="C421" s="21"/>
      <c r="D421" s="21"/>
      <c r="E421" s="21"/>
      <c r="F421" s="21"/>
      <c r="G421" s="21"/>
      <c r="H421" s="21"/>
      <c r="I421" s="21"/>
      <c r="J421" s="22"/>
      <c r="K421" s="22"/>
      <c r="L421" s="22"/>
      <c r="M421" s="22"/>
      <c r="N421" s="23" t="str">
        <f aca="false">IF(C421="","",SUM(J421:M421))</f>
        <v/>
      </c>
      <c r="O421" s="24" t="str">
        <f aca="false">IF(C421="","",IF(OR(D421="Lucro Real",E421="Indústria",N421&gt;500),"A",IF(OR(D421="Lucro Presumido",I421="S",N421&gt;=100),"B","C")))</f>
        <v/>
      </c>
      <c r="P421" s="21"/>
      <c r="Q421" s="24" t="str">
        <f aca="false">IF(C421="","",IF(P421&lt;&gt;"",P421,O421))</f>
        <v/>
      </c>
      <c r="R421" s="21"/>
      <c r="S421" s="21"/>
      <c r="T421" s="25"/>
      <c r="U421" s="23" t="str">
        <f aca="true">IF(T421="","",T421-TODAY())</f>
        <v/>
      </c>
      <c r="V421" s="21"/>
      <c r="W421" s="25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customFormat="false" ht="15" hidden="false" customHeight="false" outlineLevel="0" collapsed="false">
      <c r="A422" s="21"/>
      <c r="B422" s="21"/>
      <c r="C422" s="21"/>
      <c r="D422" s="21"/>
      <c r="E422" s="21"/>
      <c r="F422" s="21"/>
      <c r="G422" s="21"/>
      <c r="H422" s="21"/>
      <c r="I422" s="21"/>
      <c r="J422" s="22"/>
      <c r="K422" s="22"/>
      <c r="L422" s="22"/>
      <c r="M422" s="22"/>
      <c r="N422" s="23" t="str">
        <f aca="false">IF(C422="","",SUM(J422:M422))</f>
        <v/>
      </c>
      <c r="O422" s="24" t="str">
        <f aca="false">IF(C422="","",IF(OR(D422="Lucro Real",E422="Indústria",N422&gt;500),"A",IF(OR(D422="Lucro Presumido",I422="S",N422&gt;=100),"B","C")))</f>
        <v/>
      </c>
      <c r="P422" s="21"/>
      <c r="Q422" s="24" t="str">
        <f aca="false">IF(C422="","",IF(P422&lt;&gt;"",P422,O422))</f>
        <v/>
      </c>
      <c r="R422" s="21"/>
      <c r="S422" s="21"/>
      <c r="T422" s="25"/>
      <c r="U422" s="23" t="str">
        <f aca="true">IF(T422="","",T422-TODAY())</f>
        <v/>
      </c>
      <c r="V422" s="21"/>
      <c r="W422" s="25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customFormat="false" ht="15" hidden="false" customHeight="false" outlineLevel="0" collapsed="false">
      <c r="A423" s="21"/>
      <c r="B423" s="21"/>
      <c r="C423" s="21"/>
      <c r="D423" s="21"/>
      <c r="E423" s="21"/>
      <c r="F423" s="21"/>
      <c r="G423" s="21"/>
      <c r="H423" s="21"/>
      <c r="I423" s="21"/>
      <c r="J423" s="22"/>
      <c r="K423" s="22"/>
      <c r="L423" s="22"/>
      <c r="M423" s="22"/>
      <c r="N423" s="23" t="str">
        <f aca="false">IF(C423="","",SUM(J423:M423))</f>
        <v/>
      </c>
      <c r="O423" s="24" t="str">
        <f aca="false">IF(C423="","",IF(OR(D423="Lucro Real",E423="Indústria",N423&gt;500),"A",IF(OR(D423="Lucro Presumido",I423="S",N423&gt;=100),"B","C")))</f>
        <v/>
      </c>
      <c r="P423" s="21"/>
      <c r="Q423" s="24" t="str">
        <f aca="false">IF(C423="","",IF(P423&lt;&gt;"",P423,O423))</f>
        <v/>
      </c>
      <c r="R423" s="21"/>
      <c r="S423" s="21"/>
      <c r="T423" s="25"/>
      <c r="U423" s="23" t="str">
        <f aca="true">IF(T423="","",T423-TODAY())</f>
        <v/>
      </c>
      <c r="V423" s="21"/>
      <c r="W423" s="25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customFormat="false" ht="15" hidden="false" customHeight="false" outlineLevel="0" collapsed="false">
      <c r="A424" s="21"/>
      <c r="B424" s="21"/>
      <c r="C424" s="21"/>
      <c r="D424" s="21"/>
      <c r="E424" s="21"/>
      <c r="F424" s="21"/>
      <c r="G424" s="21"/>
      <c r="H424" s="21"/>
      <c r="I424" s="21"/>
      <c r="J424" s="22"/>
      <c r="K424" s="22"/>
      <c r="L424" s="22"/>
      <c r="M424" s="22"/>
      <c r="N424" s="23" t="str">
        <f aca="false">IF(C424="","",SUM(J424:M424))</f>
        <v/>
      </c>
      <c r="O424" s="24" t="str">
        <f aca="false">IF(C424="","",IF(OR(D424="Lucro Real",E424="Indústria",N424&gt;500),"A",IF(OR(D424="Lucro Presumido",I424="S",N424&gt;=100),"B","C")))</f>
        <v/>
      </c>
      <c r="P424" s="21"/>
      <c r="Q424" s="24" t="str">
        <f aca="false">IF(C424="","",IF(P424&lt;&gt;"",P424,O424))</f>
        <v/>
      </c>
      <c r="R424" s="21"/>
      <c r="S424" s="21"/>
      <c r="T424" s="25"/>
      <c r="U424" s="23" t="str">
        <f aca="true">IF(T424="","",T424-TODAY())</f>
        <v/>
      </c>
      <c r="V424" s="21"/>
      <c r="W424" s="25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customFormat="false" ht="15" hidden="false" customHeight="false" outlineLevel="0" collapsed="false">
      <c r="A425" s="21"/>
      <c r="B425" s="21"/>
      <c r="C425" s="21"/>
      <c r="D425" s="21"/>
      <c r="E425" s="21"/>
      <c r="F425" s="21"/>
      <c r="G425" s="21"/>
      <c r="H425" s="21"/>
      <c r="I425" s="21"/>
      <c r="J425" s="22"/>
      <c r="K425" s="22"/>
      <c r="L425" s="22"/>
      <c r="M425" s="22"/>
      <c r="N425" s="23" t="str">
        <f aca="false">IF(C425="","",SUM(J425:M425))</f>
        <v/>
      </c>
      <c r="O425" s="24" t="str">
        <f aca="false">IF(C425="","",IF(OR(D425="Lucro Real",E425="Indústria",N425&gt;500),"A",IF(OR(D425="Lucro Presumido",I425="S",N425&gt;=100),"B","C")))</f>
        <v/>
      </c>
      <c r="P425" s="21"/>
      <c r="Q425" s="24" t="str">
        <f aca="false">IF(C425="","",IF(P425&lt;&gt;"",P425,O425))</f>
        <v/>
      </c>
      <c r="R425" s="21"/>
      <c r="S425" s="21"/>
      <c r="T425" s="25"/>
      <c r="U425" s="23" t="str">
        <f aca="true">IF(T425="","",T425-TODAY())</f>
        <v/>
      </c>
      <c r="V425" s="21"/>
      <c r="W425" s="25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customFormat="false" ht="15" hidden="false" customHeight="false" outlineLevel="0" collapsed="false">
      <c r="A426" s="21"/>
      <c r="B426" s="21"/>
      <c r="C426" s="21"/>
      <c r="D426" s="21"/>
      <c r="E426" s="21"/>
      <c r="F426" s="21"/>
      <c r="G426" s="21"/>
      <c r="H426" s="21"/>
      <c r="I426" s="21"/>
      <c r="J426" s="22"/>
      <c r="K426" s="22"/>
      <c r="L426" s="22"/>
      <c r="M426" s="22"/>
      <c r="N426" s="23" t="str">
        <f aca="false">IF(C426="","",SUM(J426:M426))</f>
        <v/>
      </c>
      <c r="O426" s="24" t="str">
        <f aca="false">IF(C426="","",IF(OR(D426="Lucro Real",E426="Indústria",N426&gt;500),"A",IF(OR(D426="Lucro Presumido",I426="S",N426&gt;=100),"B","C")))</f>
        <v/>
      </c>
      <c r="P426" s="21"/>
      <c r="Q426" s="24" t="str">
        <f aca="false">IF(C426="","",IF(P426&lt;&gt;"",P426,O426))</f>
        <v/>
      </c>
      <c r="R426" s="21"/>
      <c r="S426" s="21"/>
      <c r="T426" s="25"/>
      <c r="U426" s="23" t="str">
        <f aca="true">IF(T426="","",T426-TODAY())</f>
        <v/>
      </c>
      <c r="V426" s="21"/>
      <c r="W426" s="25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customFormat="false" ht="15" hidden="false" customHeight="false" outlineLevel="0" collapsed="false">
      <c r="A427" s="21"/>
      <c r="B427" s="21"/>
      <c r="C427" s="21"/>
      <c r="D427" s="21"/>
      <c r="E427" s="21"/>
      <c r="F427" s="21"/>
      <c r="G427" s="21"/>
      <c r="H427" s="21"/>
      <c r="I427" s="21"/>
      <c r="J427" s="22"/>
      <c r="K427" s="22"/>
      <c r="L427" s="22"/>
      <c r="M427" s="22"/>
      <c r="N427" s="23" t="str">
        <f aca="false">IF(C427="","",SUM(J427:M427))</f>
        <v/>
      </c>
      <c r="O427" s="24" t="str">
        <f aca="false">IF(C427="","",IF(OR(D427="Lucro Real",E427="Indústria",N427&gt;500),"A",IF(OR(D427="Lucro Presumido",I427="S",N427&gt;=100),"B","C")))</f>
        <v/>
      </c>
      <c r="P427" s="21"/>
      <c r="Q427" s="24" t="str">
        <f aca="false">IF(C427="","",IF(P427&lt;&gt;"",P427,O427))</f>
        <v/>
      </c>
      <c r="R427" s="21"/>
      <c r="S427" s="21"/>
      <c r="T427" s="25"/>
      <c r="U427" s="23" t="str">
        <f aca="true">IF(T427="","",T427-TODAY())</f>
        <v/>
      </c>
      <c r="V427" s="21"/>
      <c r="W427" s="25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customFormat="false" ht="15" hidden="false" customHeight="false" outlineLevel="0" collapsed="false">
      <c r="A428" s="21"/>
      <c r="B428" s="21"/>
      <c r="C428" s="21"/>
      <c r="D428" s="21"/>
      <c r="E428" s="21"/>
      <c r="F428" s="21"/>
      <c r="G428" s="21"/>
      <c r="H428" s="21"/>
      <c r="I428" s="21"/>
      <c r="J428" s="22"/>
      <c r="K428" s="22"/>
      <c r="L428" s="22"/>
      <c r="M428" s="22"/>
      <c r="N428" s="23" t="str">
        <f aca="false">IF(C428="","",SUM(J428:M428))</f>
        <v/>
      </c>
      <c r="O428" s="24" t="str">
        <f aca="false">IF(C428="","",IF(OR(D428="Lucro Real",E428="Indústria",N428&gt;500),"A",IF(OR(D428="Lucro Presumido",I428="S",N428&gt;=100),"B","C")))</f>
        <v/>
      </c>
      <c r="P428" s="21"/>
      <c r="Q428" s="24" t="str">
        <f aca="false">IF(C428="","",IF(P428&lt;&gt;"",P428,O428))</f>
        <v/>
      </c>
      <c r="R428" s="21"/>
      <c r="S428" s="21"/>
      <c r="T428" s="25"/>
      <c r="U428" s="23" t="str">
        <f aca="true">IF(T428="","",T428-TODAY())</f>
        <v/>
      </c>
      <c r="V428" s="21"/>
      <c r="W428" s="25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customFormat="false" ht="15" hidden="false" customHeight="false" outlineLevel="0" collapsed="false">
      <c r="A429" s="21"/>
      <c r="B429" s="21"/>
      <c r="C429" s="21"/>
      <c r="D429" s="21"/>
      <c r="E429" s="21"/>
      <c r="F429" s="21"/>
      <c r="G429" s="21"/>
      <c r="H429" s="21"/>
      <c r="I429" s="21"/>
      <c r="J429" s="22"/>
      <c r="K429" s="22"/>
      <c r="L429" s="22"/>
      <c r="M429" s="22"/>
      <c r="N429" s="23" t="str">
        <f aca="false">IF(C429="","",SUM(J429:M429))</f>
        <v/>
      </c>
      <c r="O429" s="24" t="str">
        <f aca="false">IF(C429="","",IF(OR(D429="Lucro Real",E429="Indústria",N429&gt;500),"A",IF(OR(D429="Lucro Presumido",I429="S",N429&gt;=100),"B","C")))</f>
        <v/>
      </c>
      <c r="P429" s="21"/>
      <c r="Q429" s="24" t="str">
        <f aca="false">IF(C429="","",IF(P429&lt;&gt;"",P429,O429))</f>
        <v/>
      </c>
      <c r="R429" s="21"/>
      <c r="S429" s="21"/>
      <c r="T429" s="25"/>
      <c r="U429" s="23" t="str">
        <f aca="true">IF(T429="","",T429-TODAY())</f>
        <v/>
      </c>
      <c r="V429" s="21"/>
      <c r="W429" s="25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customFormat="false" ht="15" hidden="false" customHeight="false" outlineLevel="0" collapsed="false">
      <c r="A430" s="21"/>
      <c r="B430" s="21"/>
      <c r="C430" s="21"/>
      <c r="D430" s="21"/>
      <c r="E430" s="21"/>
      <c r="F430" s="21"/>
      <c r="G430" s="21"/>
      <c r="H430" s="21"/>
      <c r="I430" s="21"/>
      <c r="J430" s="22"/>
      <c r="K430" s="22"/>
      <c r="L430" s="22"/>
      <c r="M430" s="22"/>
      <c r="N430" s="23" t="str">
        <f aca="false">IF(C430="","",SUM(J430:M430))</f>
        <v/>
      </c>
      <c r="O430" s="24" t="str">
        <f aca="false">IF(C430="","",IF(OR(D430="Lucro Real",E430="Indústria",N430&gt;500),"A",IF(OR(D430="Lucro Presumido",I430="S",N430&gt;=100),"B","C")))</f>
        <v/>
      </c>
      <c r="P430" s="21"/>
      <c r="Q430" s="24" t="str">
        <f aca="false">IF(C430="","",IF(P430&lt;&gt;"",P430,O430))</f>
        <v/>
      </c>
      <c r="R430" s="21"/>
      <c r="S430" s="21"/>
      <c r="T430" s="25"/>
      <c r="U430" s="23" t="str">
        <f aca="true">IF(T430="","",T430-TODAY())</f>
        <v/>
      </c>
      <c r="V430" s="21"/>
      <c r="W430" s="25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customFormat="false" ht="15" hidden="false" customHeight="false" outlineLevel="0" collapsed="false">
      <c r="A431" s="21"/>
      <c r="B431" s="21"/>
      <c r="C431" s="21"/>
      <c r="D431" s="21"/>
      <c r="E431" s="21"/>
      <c r="F431" s="21"/>
      <c r="G431" s="21"/>
      <c r="H431" s="21"/>
      <c r="I431" s="21"/>
      <c r="J431" s="22"/>
      <c r="K431" s="22"/>
      <c r="L431" s="22"/>
      <c r="M431" s="22"/>
      <c r="N431" s="23" t="str">
        <f aca="false">IF(C431="","",SUM(J431:M431))</f>
        <v/>
      </c>
      <c r="O431" s="24" t="str">
        <f aca="false">IF(C431="","",IF(OR(D431="Lucro Real",E431="Indústria",N431&gt;500),"A",IF(OR(D431="Lucro Presumido",I431="S",N431&gt;=100),"B","C")))</f>
        <v/>
      </c>
      <c r="P431" s="21"/>
      <c r="Q431" s="24" t="str">
        <f aca="false">IF(C431="","",IF(P431&lt;&gt;"",P431,O431))</f>
        <v/>
      </c>
      <c r="R431" s="21"/>
      <c r="S431" s="21"/>
      <c r="T431" s="25"/>
      <c r="U431" s="23" t="str">
        <f aca="true">IF(T431="","",T431-TODAY())</f>
        <v/>
      </c>
      <c r="V431" s="21"/>
      <c r="W431" s="25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customFormat="false" ht="15" hidden="false" customHeight="false" outlineLevel="0" collapsed="false">
      <c r="A432" s="21"/>
      <c r="B432" s="21"/>
      <c r="C432" s="21"/>
      <c r="D432" s="21"/>
      <c r="E432" s="21"/>
      <c r="F432" s="21"/>
      <c r="G432" s="21"/>
      <c r="H432" s="21"/>
      <c r="I432" s="21"/>
      <c r="J432" s="22"/>
      <c r="K432" s="22"/>
      <c r="L432" s="22"/>
      <c r="M432" s="22"/>
      <c r="N432" s="23" t="str">
        <f aca="false">IF(C432="","",SUM(J432:M432))</f>
        <v/>
      </c>
      <c r="O432" s="24" t="str">
        <f aca="false">IF(C432="","",IF(OR(D432="Lucro Real",E432="Indústria",N432&gt;500),"A",IF(OR(D432="Lucro Presumido",I432="S",N432&gt;=100),"B","C")))</f>
        <v/>
      </c>
      <c r="P432" s="21"/>
      <c r="Q432" s="24" t="str">
        <f aca="false">IF(C432="","",IF(P432&lt;&gt;"",P432,O432))</f>
        <v/>
      </c>
      <c r="R432" s="21"/>
      <c r="S432" s="21"/>
      <c r="T432" s="25"/>
      <c r="U432" s="23" t="str">
        <f aca="true">IF(T432="","",T432-TODAY())</f>
        <v/>
      </c>
      <c r="V432" s="21"/>
      <c r="W432" s="25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customFormat="false" ht="15" hidden="false" customHeight="false" outlineLevel="0" collapsed="false">
      <c r="A433" s="21"/>
      <c r="B433" s="21"/>
      <c r="C433" s="21"/>
      <c r="D433" s="21"/>
      <c r="E433" s="21"/>
      <c r="F433" s="21"/>
      <c r="G433" s="21"/>
      <c r="H433" s="21"/>
      <c r="I433" s="21"/>
      <c r="J433" s="22"/>
      <c r="K433" s="22"/>
      <c r="L433" s="22"/>
      <c r="M433" s="22"/>
      <c r="N433" s="23" t="str">
        <f aca="false">IF(C433="","",SUM(J433:M433))</f>
        <v/>
      </c>
      <c r="O433" s="24" t="str">
        <f aca="false">IF(C433="","",IF(OR(D433="Lucro Real",E433="Indústria",N433&gt;500),"A",IF(OR(D433="Lucro Presumido",I433="S",N433&gt;=100),"B","C")))</f>
        <v/>
      </c>
      <c r="P433" s="21"/>
      <c r="Q433" s="24" t="str">
        <f aca="false">IF(C433="","",IF(P433&lt;&gt;"",P433,O433))</f>
        <v/>
      </c>
      <c r="R433" s="21"/>
      <c r="S433" s="21"/>
      <c r="T433" s="25"/>
      <c r="U433" s="23" t="str">
        <f aca="true">IF(T433="","",T433-TODAY())</f>
        <v/>
      </c>
      <c r="V433" s="21"/>
      <c r="W433" s="25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customFormat="false" ht="15" hidden="false" customHeight="false" outlineLevel="0" collapsed="false">
      <c r="A434" s="21"/>
      <c r="B434" s="21"/>
      <c r="C434" s="21"/>
      <c r="D434" s="21"/>
      <c r="E434" s="21"/>
      <c r="F434" s="21"/>
      <c r="G434" s="21"/>
      <c r="H434" s="21"/>
      <c r="I434" s="21"/>
      <c r="J434" s="22"/>
      <c r="K434" s="22"/>
      <c r="L434" s="22"/>
      <c r="M434" s="22"/>
      <c r="N434" s="23" t="str">
        <f aca="false">IF(C434="","",SUM(J434:M434))</f>
        <v/>
      </c>
      <c r="O434" s="24" t="str">
        <f aca="false">IF(C434="","",IF(OR(D434="Lucro Real",E434="Indústria",N434&gt;500),"A",IF(OR(D434="Lucro Presumido",I434="S",N434&gt;=100),"B","C")))</f>
        <v/>
      </c>
      <c r="P434" s="21"/>
      <c r="Q434" s="24" t="str">
        <f aca="false">IF(C434="","",IF(P434&lt;&gt;"",P434,O434))</f>
        <v/>
      </c>
      <c r="R434" s="21"/>
      <c r="S434" s="21"/>
      <c r="T434" s="25"/>
      <c r="U434" s="23" t="str">
        <f aca="true">IF(T434="","",T434-TODAY())</f>
        <v/>
      </c>
      <c r="V434" s="21"/>
      <c r="W434" s="25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customFormat="false" ht="15" hidden="false" customHeight="false" outlineLevel="0" collapsed="false">
      <c r="A435" s="21"/>
      <c r="B435" s="21"/>
      <c r="C435" s="21"/>
      <c r="D435" s="21"/>
      <c r="E435" s="21"/>
      <c r="F435" s="21"/>
      <c r="G435" s="21"/>
      <c r="H435" s="21"/>
      <c r="I435" s="21"/>
      <c r="J435" s="22"/>
      <c r="K435" s="22"/>
      <c r="L435" s="22"/>
      <c r="M435" s="22"/>
      <c r="N435" s="23" t="str">
        <f aca="false">IF(C435="","",SUM(J435:M435))</f>
        <v/>
      </c>
      <c r="O435" s="24" t="str">
        <f aca="false">IF(C435="","",IF(OR(D435="Lucro Real",E435="Indústria",N435&gt;500),"A",IF(OR(D435="Lucro Presumido",I435="S",N435&gt;=100),"B","C")))</f>
        <v/>
      </c>
      <c r="P435" s="21"/>
      <c r="Q435" s="24" t="str">
        <f aca="false">IF(C435="","",IF(P435&lt;&gt;"",P435,O435))</f>
        <v/>
      </c>
      <c r="R435" s="21"/>
      <c r="S435" s="21"/>
      <c r="T435" s="25"/>
      <c r="U435" s="23" t="str">
        <f aca="true">IF(T435="","",T435-TODAY())</f>
        <v/>
      </c>
      <c r="V435" s="21"/>
      <c r="W435" s="25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customFormat="false" ht="15" hidden="false" customHeight="false" outlineLevel="0" collapsed="false">
      <c r="A436" s="21"/>
      <c r="B436" s="21"/>
      <c r="C436" s="21"/>
      <c r="D436" s="21"/>
      <c r="E436" s="21"/>
      <c r="F436" s="21"/>
      <c r="G436" s="21"/>
      <c r="H436" s="21"/>
      <c r="I436" s="21"/>
      <c r="J436" s="22"/>
      <c r="K436" s="22"/>
      <c r="L436" s="22"/>
      <c r="M436" s="22"/>
      <c r="N436" s="23" t="str">
        <f aca="false">IF(C436="","",SUM(J436:M436))</f>
        <v/>
      </c>
      <c r="O436" s="24" t="str">
        <f aca="false">IF(C436="","",IF(OR(D436="Lucro Real",E436="Indústria",N436&gt;500),"A",IF(OR(D436="Lucro Presumido",I436="S",N436&gt;=100),"B","C")))</f>
        <v/>
      </c>
      <c r="P436" s="21"/>
      <c r="Q436" s="24" t="str">
        <f aca="false">IF(C436="","",IF(P436&lt;&gt;"",P436,O436))</f>
        <v/>
      </c>
      <c r="R436" s="21"/>
      <c r="S436" s="21"/>
      <c r="T436" s="25"/>
      <c r="U436" s="23" t="str">
        <f aca="true">IF(T436="","",T436-TODAY())</f>
        <v/>
      </c>
      <c r="V436" s="21"/>
      <c r="W436" s="25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customFormat="false" ht="15" hidden="false" customHeight="false" outlineLevel="0" collapsed="false">
      <c r="A437" s="21"/>
      <c r="B437" s="21"/>
      <c r="C437" s="21"/>
      <c r="D437" s="21"/>
      <c r="E437" s="21"/>
      <c r="F437" s="21"/>
      <c r="G437" s="21"/>
      <c r="H437" s="21"/>
      <c r="I437" s="21"/>
      <c r="J437" s="22"/>
      <c r="K437" s="22"/>
      <c r="L437" s="22"/>
      <c r="M437" s="22"/>
      <c r="N437" s="23" t="str">
        <f aca="false">IF(C437="","",SUM(J437:M437))</f>
        <v/>
      </c>
      <c r="O437" s="24" t="str">
        <f aca="false">IF(C437="","",IF(OR(D437="Lucro Real",E437="Indústria",N437&gt;500),"A",IF(OR(D437="Lucro Presumido",I437="S",N437&gt;=100),"B","C")))</f>
        <v/>
      </c>
      <c r="P437" s="21"/>
      <c r="Q437" s="24" t="str">
        <f aca="false">IF(C437="","",IF(P437&lt;&gt;"",P437,O437))</f>
        <v/>
      </c>
      <c r="R437" s="21"/>
      <c r="S437" s="21"/>
      <c r="T437" s="25"/>
      <c r="U437" s="23" t="str">
        <f aca="true">IF(T437="","",T437-TODAY())</f>
        <v/>
      </c>
      <c r="V437" s="21"/>
      <c r="W437" s="25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customFormat="false" ht="15" hidden="false" customHeight="false" outlineLevel="0" collapsed="false">
      <c r="A438" s="21"/>
      <c r="B438" s="21"/>
      <c r="C438" s="21"/>
      <c r="D438" s="21"/>
      <c r="E438" s="21"/>
      <c r="F438" s="21"/>
      <c r="G438" s="21"/>
      <c r="H438" s="21"/>
      <c r="I438" s="21"/>
      <c r="J438" s="22"/>
      <c r="K438" s="22"/>
      <c r="L438" s="22"/>
      <c r="M438" s="22"/>
      <c r="N438" s="23" t="str">
        <f aca="false">IF(C438="","",SUM(J438:M438))</f>
        <v/>
      </c>
      <c r="O438" s="24" t="str">
        <f aca="false">IF(C438="","",IF(OR(D438="Lucro Real",E438="Indústria",N438&gt;500),"A",IF(OR(D438="Lucro Presumido",I438="S",N438&gt;=100),"B","C")))</f>
        <v/>
      </c>
      <c r="P438" s="21"/>
      <c r="Q438" s="24" t="str">
        <f aca="false">IF(C438="","",IF(P438&lt;&gt;"",P438,O438))</f>
        <v/>
      </c>
      <c r="R438" s="21"/>
      <c r="S438" s="21"/>
      <c r="T438" s="25"/>
      <c r="U438" s="23" t="str">
        <f aca="true">IF(T438="","",T438-TODAY())</f>
        <v/>
      </c>
      <c r="V438" s="21"/>
      <c r="W438" s="25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customFormat="false" ht="15" hidden="false" customHeight="false" outlineLevel="0" collapsed="false">
      <c r="A439" s="21"/>
      <c r="B439" s="21"/>
      <c r="C439" s="21"/>
      <c r="D439" s="21"/>
      <c r="E439" s="21"/>
      <c r="F439" s="21"/>
      <c r="G439" s="21"/>
      <c r="H439" s="21"/>
      <c r="I439" s="21"/>
      <c r="J439" s="22"/>
      <c r="K439" s="22"/>
      <c r="L439" s="22"/>
      <c r="M439" s="22"/>
      <c r="N439" s="23" t="str">
        <f aca="false">IF(C439="","",SUM(J439:M439))</f>
        <v/>
      </c>
      <c r="O439" s="24" t="str">
        <f aca="false">IF(C439="","",IF(OR(D439="Lucro Real",E439="Indústria",N439&gt;500),"A",IF(OR(D439="Lucro Presumido",I439="S",N439&gt;=100),"B","C")))</f>
        <v/>
      </c>
      <c r="P439" s="21"/>
      <c r="Q439" s="24" t="str">
        <f aca="false">IF(C439="","",IF(P439&lt;&gt;"",P439,O439))</f>
        <v/>
      </c>
      <c r="R439" s="21"/>
      <c r="S439" s="21"/>
      <c r="T439" s="25"/>
      <c r="U439" s="23" t="str">
        <f aca="true">IF(T439="","",T439-TODAY())</f>
        <v/>
      </c>
      <c r="V439" s="21"/>
      <c r="W439" s="25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customFormat="false" ht="15" hidden="false" customHeight="false" outlineLevel="0" collapsed="false">
      <c r="A440" s="21"/>
      <c r="B440" s="21"/>
      <c r="C440" s="21"/>
      <c r="D440" s="21"/>
      <c r="E440" s="21"/>
      <c r="F440" s="21"/>
      <c r="G440" s="21"/>
      <c r="H440" s="21"/>
      <c r="I440" s="21"/>
      <c r="J440" s="22"/>
      <c r="K440" s="22"/>
      <c r="L440" s="22"/>
      <c r="M440" s="22"/>
      <c r="N440" s="23" t="str">
        <f aca="false">IF(C440="","",SUM(J440:M440))</f>
        <v/>
      </c>
      <c r="O440" s="24" t="str">
        <f aca="false">IF(C440="","",IF(OR(D440="Lucro Real",E440="Indústria",N440&gt;500),"A",IF(OR(D440="Lucro Presumido",I440="S",N440&gt;=100),"B","C")))</f>
        <v/>
      </c>
      <c r="P440" s="21"/>
      <c r="Q440" s="24" t="str">
        <f aca="false">IF(C440="","",IF(P440&lt;&gt;"",P440,O440))</f>
        <v/>
      </c>
      <c r="R440" s="21"/>
      <c r="S440" s="21"/>
      <c r="T440" s="25"/>
      <c r="U440" s="23" t="str">
        <f aca="true">IF(T440="","",T440-TODAY())</f>
        <v/>
      </c>
      <c r="V440" s="21"/>
      <c r="W440" s="25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customFormat="false" ht="15" hidden="false" customHeight="false" outlineLevel="0" collapsed="false">
      <c r="A441" s="21"/>
      <c r="B441" s="21"/>
      <c r="C441" s="21"/>
      <c r="D441" s="21"/>
      <c r="E441" s="21"/>
      <c r="F441" s="21"/>
      <c r="G441" s="21"/>
      <c r="H441" s="21"/>
      <c r="I441" s="21"/>
      <c r="J441" s="22"/>
      <c r="K441" s="22"/>
      <c r="L441" s="22"/>
      <c r="M441" s="22"/>
      <c r="N441" s="23" t="str">
        <f aca="false">IF(C441="","",SUM(J441:M441))</f>
        <v/>
      </c>
      <c r="O441" s="24" t="str">
        <f aca="false">IF(C441="","",IF(OR(D441="Lucro Real",E441="Indústria",N441&gt;500),"A",IF(OR(D441="Lucro Presumido",I441="S",N441&gt;=100),"B","C")))</f>
        <v/>
      </c>
      <c r="P441" s="21"/>
      <c r="Q441" s="24" t="str">
        <f aca="false">IF(C441="","",IF(P441&lt;&gt;"",P441,O441))</f>
        <v/>
      </c>
      <c r="R441" s="21"/>
      <c r="S441" s="21"/>
      <c r="T441" s="25"/>
      <c r="U441" s="23" t="str">
        <f aca="true">IF(T441="","",T441-TODAY())</f>
        <v/>
      </c>
      <c r="V441" s="21"/>
      <c r="W441" s="25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customFormat="false" ht="15" hidden="false" customHeight="false" outlineLevel="0" collapsed="false">
      <c r="A442" s="21"/>
      <c r="B442" s="21"/>
      <c r="C442" s="21"/>
      <c r="D442" s="21"/>
      <c r="E442" s="21"/>
      <c r="F442" s="21"/>
      <c r="G442" s="21"/>
      <c r="H442" s="21"/>
      <c r="I442" s="21"/>
      <c r="J442" s="22"/>
      <c r="K442" s="22"/>
      <c r="L442" s="22"/>
      <c r="M442" s="22"/>
      <c r="N442" s="23" t="str">
        <f aca="false">IF(C442="","",SUM(J442:M442))</f>
        <v/>
      </c>
      <c r="O442" s="24" t="str">
        <f aca="false">IF(C442="","",IF(OR(D442="Lucro Real",E442="Indústria",N442&gt;500),"A",IF(OR(D442="Lucro Presumido",I442="S",N442&gt;=100),"B","C")))</f>
        <v/>
      </c>
      <c r="P442" s="21"/>
      <c r="Q442" s="24" t="str">
        <f aca="false">IF(C442="","",IF(P442&lt;&gt;"",P442,O442))</f>
        <v/>
      </c>
      <c r="R442" s="21"/>
      <c r="S442" s="21"/>
      <c r="T442" s="25"/>
      <c r="U442" s="23" t="str">
        <f aca="true">IF(T442="","",T442-TODAY())</f>
        <v/>
      </c>
      <c r="V442" s="21"/>
      <c r="W442" s="25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customFormat="false" ht="15" hidden="false" customHeight="false" outlineLevel="0" collapsed="false">
      <c r="A443" s="21"/>
      <c r="B443" s="21"/>
      <c r="C443" s="21"/>
      <c r="D443" s="21"/>
      <c r="E443" s="21"/>
      <c r="F443" s="21"/>
      <c r="G443" s="21"/>
      <c r="H443" s="21"/>
      <c r="I443" s="21"/>
      <c r="J443" s="22"/>
      <c r="K443" s="22"/>
      <c r="L443" s="22"/>
      <c r="M443" s="22"/>
      <c r="N443" s="23" t="str">
        <f aca="false">IF(C443="","",SUM(J443:M443))</f>
        <v/>
      </c>
      <c r="O443" s="24" t="str">
        <f aca="false">IF(C443="","",IF(OR(D443="Lucro Real",E443="Indústria",N443&gt;500),"A",IF(OR(D443="Lucro Presumido",I443="S",N443&gt;=100),"B","C")))</f>
        <v/>
      </c>
      <c r="P443" s="21"/>
      <c r="Q443" s="24" t="str">
        <f aca="false">IF(C443="","",IF(P443&lt;&gt;"",P443,O443))</f>
        <v/>
      </c>
      <c r="R443" s="21"/>
      <c r="S443" s="21"/>
      <c r="T443" s="25"/>
      <c r="U443" s="23" t="str">
        <f aca="true">IF(T443="","",T443-TODAY())</f>
        <v/>
      </c>
      <c r="V443" s="21"/>
      <c r="W443" s="25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customFormat="false" ht="15" hidden="false" customHeight="false" outlineLevel="0" collapsed="false">
      <c r="A444" s="21"/>
      <c r="B444" s="21"/>
      <c r="C444" s="21"/>
      <c r="D444" s="21"/>
      <c r="E444" s="21"/>
      <c r="F444" s="21"/>
      <c r="G444" s="21"/>
      <c r="H444" s="21"/>
      <c r="I444" s="21"/>
      <c r="J444" s="22"/>
      <c r="K444" s="22"/>
      <c r="L444" s="22"/>
      <c r="M444" s="22"/>
      <c r="N444" s="23" t="str">
        <f aca="false">IF(C444="","",SUM(J444:M444))</f>
        <v/>
      </c>
      <c r="O444" s="24" t="str">
        <f aca="false">IF(C444="","",IF(OR(D444="Lucro Real",E444="Indústria",N444&gt;500),"A",IF(OR(D444="Lucro Presumido",I444="S",N444&gt;=100),"B","C")))</f>
        <v/>
      </c>
      <c r="P444" s="21"/>
      <c r="Q444" s="24" t="str">
        <f aca="false">IF(C444="","",IF(P444&lt;&gt;"",P444,O444))</f>
        <v/>
      </c>
      <c r="R444" s="21"/>
      <c r="S444" s="21"/>
      <c r="T444" s="25"/>
      <c r="U444" s="23" t="str">
        <f aca="true">IF(T444="","",T444-TODAY())</f>
        <v/>
      </c>
      <c r="V444" s="21"/>
      <c r="W444" s="25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customFormat="false" ht="15" hidden="false" customHeight="false" outlineLevel="0" collapsed="false">
      <c r="A445" s="21"/>
      <c r="B445" s="21"/>
      <c r="C445" s="21"/>
      <c r="D445" s="21"/>
      <c r="E445" s="21"/>
      <c r="F445" s="21"/>
      <c r="G445" s="21"/>
      <c r="H445" s="21"/>
      <c r="I445" s="21"/>
      <c r="J445" s="22"/>
      <c r="K445" s="22"/>
      <c r="L445" s="22"/>
      <c r="M445" s="22"/>
      <c r="N445" s="23" t="str">
        <f aca="false">IF(C445="","",SUM(J445:M445))</f>
        <v/>
      </c>
      <c r="O445" s="24" t="str">
        <f aca="false">IF(C445="","",IF(OR(D445="Lucro Real",E445="Indústria",N445&gt;500),"A",IF(OR(D445="Lucro Presumido",I445="S",N445&gt;=100),"B","C")))</f>
        <v/>
      </c>
      <c r="P445" s="21"/>
      <c r="Q445" s="24" t="str">
        <f aca="false">IF(C445="","",IF(P445&lt;&gt;"",P445,O445))</f>
        <v/>
      </c>
      <c r="R445" s="21"/>
      <c r="S445" s="21"/>
      <c r="T445" s="25"/>
      <c r="U445" s="23" t="str">
        <f aca="true">IF(T445="","",T445-TODAY())</f>
        <v/>
      </c>
      <c r="V445" s="21"/>
      <c r="W445" s="25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customFormat="false" ht="15" hidden="false" customHeight="false" outlineLevel="0" collapsed="false">
      <c r="A446" s="21"/>
      <c r="B446" s="21"/>
      <c r="C446" s="21"/>
      <c r="D446" s="21"/>
      <c r="E446" s="21"/>
      <c r="F446" s="21"/>
      <c r="G446" s="21"/>
      <c r="H446" s="21"/>
      <c r="I446" s="21"/>
      <c r="J446" s="22"/>
      <c r="K446" s="22"/>
      <c r="L446" s="22"/>
      <c r="M446" s="22"/>
      <c r="N446" s="23" t="str">
        <f aca="false">IF(C446="","",SUM(J446:M446))</f>
        <v/>
      </c>
      <c r="O446" s="24" t="str">
        <f aca="false">IF(C446="","",IF(OR(D446="Lucro Real",E446="Indústria",N446&gt;500),"A",IF(OR(D446="Lucro Presumido",I446="S",N446&gt;=100),"B","C")))</f>
        <v/>
      </c>
      <c r="P446" s="21"/>
      <c r="Q446" s="24" t="str">
        <f aca="false">IF(C446="","",IF(P446&lt;&gt;"",P446,O446))</f>
        <v/>
      </c>
      <c r="R446" s="21"/>
      <c r="S446" s="21"/>
      <c r="T446" s="25"/>
      <c r="U446" s="23" t="str">
        <f aca="true">IF(T446="","",T446-TODAY())</f>
        <v/>
      </c>
      <c r="V446" s="21"/>
      <c r="W446" s="25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customFormat="false" ht="15" hidden="false" customHeight="false" outlineLevel="0" collapsed="false">
      <c r="A447" s="21"/>
      <c r="B447" s="21"/>
      <c r="C447" s="21"/>
      <c r="D447" s="21"/>
      <c r="E447" s="21"/>
      <c r="F447" s="21"/>
      <c r="G447" s="21"/>
      <c r="H447" s="21"/>
      <c r="I447" s="21"/>
      <c r="J447" s="22"/>
      <c r="K447" s="22"/>
      <c r="L447" s="22"/>
      <c r="M447" s="22"/>
      <c r="N447" s="23" t="str">
        <f aca="false">IF(C447="","",SUM(J447:M447))</f>
        <v/>
      </c>
      <c r="O447" s="24" t="str">
        <f aca="false">IF(C447="","",IF(OR(D447="Lucro Real",E447="Indústria",N447&gt;500),"A",IF(OR(D447="Lucro Presumido",I447="S",N447&gt;=100),"B","C")))</f>
        <v/>
      </c>
      <c r="P447" s="21"/>
      <c r="Q447" s="24" t="str">
        <f aca="false">IF(C447="","",IF(P447&lt;&gt;"",P447,O447))</f>
        <v/>
      </c>
      <c r="R447" s="21"/>
      <c r="S447" s="21"/>
      <c r="T447" s="25"/>
      <c r="U447" s="23" t="str">
        <f aca="true">IF(T447="","",T447-TODAY())</f>
        <v/>
      </c>
      <c r="V447" s="21"/>
      <c r="W447" s="25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customFormat="false" ht="15" hidden="false" customHeight="false" outlineLevel="0" collapsed="false">
      <c r="A448" s="21"/>
      <c r="B448" s="21"/>
      <c r="C448" s="21"/>
      <c r="D448" s="21"/>
      <c r="E448" s="21"/>
      <c r="F448" s="21"/>
      <c r="G448" s="21"/>
      <c r="H448" s="21"/>
      <c r="I448" s="21"/>
      <c r="J448" s="22"/>
      <c r="K448" s="22"/>
      <c r="L448" s="22"/>
      <c r="M448" s="22"/>
      <c r="N448" s="23" t="str">
        <f aca="false">IF(C448="","",SUM(J448:M448))</f>
        <v/>
      </c>
      <c r="O448" s="24" t="str">
        <f aca="false">IF(C448="","",IF(OR(D448="Lucro Real",E448="Indústria",N448&gt;500),"A",IF(OR(D448="Lucro Presumido",I448="S",N448&gt;=100),"B","C")))</f>
        <v/>
      </c>
      <c r="P448" s="21"/>
      <c r="Q448" s="24" t="str">
        <f aca="false">IF(C448="","",IF(P448&lt;&gt;"",P448,O448))</f>
        <v/>
      </c>
      <c r="R448" s="21"/>
      <c r="S448" s="21"/>
      <c r="T448" s="25"/>
      <c r="U448" s="23" t="str">
        <f aca="true">IF(T448="","",T448-TODAY())</f>
        <v/>
      </c>
      <c r="V448" s="21"/>
      <c r="W448" s="25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customFormat="false" ht="15" hidden="false" customHeight="false" outlineLevel="0" collapsed="false">
      <c r="A449" s="21"/>
      <c r="B449" s="21"/>
      <c r="C449" s="21"/>
      <c r="D449" s="21"/>
      <c r="E449" s="21"/>
      <c r="F449" s="21"/>
      <c r="G449" s="21"/>
      <c r="H449" s="21"/>
      <c r="I449" s="21"/>
      <c r="J449" s="22"/>
      <c r="K449" s="22"/>
      <c r="L449" s="22"/>
      <c r="M449" s="22"/>
      <c r="N449" s="23" t="str">
        <f aca="false">IF(C449="","",SUM(J449:M449))</f>
        <v/>
      </c>
      <c r="O449" s="24" t="str">
        <f aca="false">IF(C449="","",IF(OR(D449="Lucro Real",E449="Indústria",N449&gt;500),"A",IF(OR(D449="Lucro Presumido",I449="S",N449&gt;=100),"B","C")))</f>
        <v/>
      </c>
      <c r="P449" s="21"/>
      <c r="Q449" s="24" t="str">
        <f aca="false">IF(C449="","",IF(P449&lt;&gt;"",P449,O449))</f>
        <v/>
      </c>
      <c r="R449" s="21"/>
      <c r="S449" s="21"/>
      <c r="T449" s="25"/>
      <c r="U449" s="23" t="str">
        <f aca="true">IF(T449="","",T449-TODAY())</f>
        <v/>
      </c>
      <c r="V449" s="21"/>
      <c r="W449" s="25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customFormat="false" ht="15" hidden="false" customHeight="false" outlineLevel="0" collapsed="false">
      <c r="A450" s="21"/>
      <c r="B450" s="21"/>
      <c r="C450" s="21"/>
      <c r="D450" s="21"/>
      <c r="E450" s="21"/>
      <c r="F450" s="21"/>
      <c r="G450" s="21"/>
      <c r="H450" s="21"/>
      <c r="I450" s="21"/>
      <c r="J450" s="22"/>
      <c r="K450" s="22"/>
      <c r="L450" s="22"/>
      <c r="M450" s="22"/>
      <c r="N450" s="23" t="str">
        <f aca="false">IF(C450="","",SUM(J450:M450))</f>
        <v/>
      </c>
      <c r="O450" s="24" t="str">
        <f aca="false">IF(C450="","",IF(OR(D450="Lucro Real",E450="Indústria",N450&gt;500),"A",IF(OR(D450="Lucro Presumido",I450="S",N450&gt;=100),"B","C")))</f>
        <v/>
      </c>
      <c r="P450" s="21"/>
      <c r="Q450" s="24" t="str">
        <f aca="false">IF(C450="","",IF(P450&lt;&gt;"",P450,O450))</f>
        <v/>
      </c>
      <c r="R450" s="21"/>
      <c r="S450" s="21"/>
      <c r="T450" s="25"/>
      <c r="U450" s="23" t="str">
        <f aca="true">IF(T450="","",T450-TODAY())</f>
        <v/>
      </c>
      <c r="V450" s="21"/>
      <c r="W450" s="25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customFormat="false" ht="15" hidden="false" customHeight="false" outlineLevel="0" collapsed="false">
      <c r="A451" s="21"/>
      <c r="B451" s="21"/>
      <c r="C451" s="21"/>
      <c r="D451" s="21"/>
      <c r="E451" s="21"/>
      <c r="F451" s="21"/>
      <c r="G451" s="21"/>
      <c r="H451" s="21"/>
      <c r="I451" s="21"/>
      <c r="J451" s="22"/>
      <c r="K451" s="22"/>
      <c r="L451" s="22"/>
      <c r="M451" s="22"/>
      <c r="N451" s="23" t="str">
        <f aca="false">IF(C451="","",SUM(J451:M451))</f>
        <v/>
      </c>
      <c r="O451" s="24" t="str">
        <f aca="false">IF(C451="","",IF(OR(D451="Lucro Real",E451="Indústria",N451&gt;500),"A",IF(OR(D451="Lucro Presumido",I451="S",N451&gt;=100),"B","C")))</f>
        <v/>
      </c>
      <c r="P451" s="21"/>
      <c r="Q451" s="24" t="str">
        <f aca="false">IF(C451="","",IF(P451&lt;&gt;"",P451,O451))</f>
        <v/>
      </c>
      <c r="R451" s="21"/>
      <c r="S451" s="21"/>
      <c r="T451" s="25"/>
      <c r="U451" s="23" t="str">
        <f aca="true">IF(T451="","",T451-TODAY())</f>
        <v/>
      </c>
      <c r="V451" s="21"/>
      <c r="W451" s="25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customFormat="false" ht="15" hidden="false" customHeight="false" outlineLevel="0" collapsed="false">
      <c r="A452" s="21"/>
      <c r="B452" s="21"/>
      <c r="C452" s="21"/>
      <c r="D452" s="21"/>
      <c r="E452" s="21"/>
      <c r="F452" s="21"/>
      <c r="G452" s="21"/>
      <c r="H452" s="21"/>
      <c r="I452" s="21"/>
      <c r="J452" s="22"/>
      <c r="K452" s="22"/>
      <c r="L452" s="22"/>
      <c r="M452" s="22"/>
      <c r="N452" s="23" t="str">
        <f aca="false">IF(C452="","",SUM(J452:M452))</f>
        <v/>
      </c>
      <c r="O452" s="24" t="str">
        <f aca="false">IF(C452="","",IF(OR(D452="Lucro Real",E452="Indústria",N452&gt;500),"A",IF(OR(D452="Lucro Presumido",I452="S",N452&gt;=100),"B","C")))</f>
        <v/>
      </c>
      <c r="P452" s="21"/>
      <c r="Q452" s="24" t="str">
        <f aca="false">IF(C452="","",IF(P452&lt;&gt;"",P452,O452))</f>
        <v/>
      </c>
      <c r="R452" s="21"/>
      <c r="S452" s="21"/>
      <c r="T452" s="25"/>
      <c r="U452" s="23" t="str">
        <f aca="true">IF(T452="","",T452-TODAY())</f>
        <v/>
      </c>
      <c r="V452" s="21"/>
      <c r="W452" s="25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customFormat="false" ht="15" hidden="false" customHeight="false" outlineLevel="0" collapsed="false">
      <c r="A453" s="21"/>
      <c r="B453" s="21"/>
      <c r="C453" s="21"/>
      <c r="D453" s="21"/>
      <c r="E453" s="21"/>
      <c r="F453" s="21"/>
      <c r="G453" s="21"/>
      <c r="H453" s="21"/>
      <c r="I453" s="21"/>
      <c r="J453" s="22"/>
      <c r="K453" s="22"/>
      <c r="L453" s="22"/>
      <c r="M453" s="22"/>
      <c r="N453" s="23" t="str">
        <f aca="false">IF(C453="","",SUM(J453:M453))</f>
        <v/>
      </c>
      <c r="O453" s="24" t="str">
        <f aca="false">IF(C453="","",IF(OR(D453="Lucro Real",E453="Indústria",N453&gt;500),"A",IF(OR(D453="Lucro Presumido",I453="S",N453&gt;=100),"B","C")))</f>
        <v/>
      </c>
      <c r="P453" s="21"/>
      <c r="Q453" s="24" t="str">
        <f aca="false">IF(C453="","",IF(P453&lt;&gt;"",P453,O453))</f>
        <v/>
      </c>
      <c r="R453" s="21"/>
      <c r="S453" s="21"/>
      <c r="T453" s="25"/>
      <c r="U453" s="23" t="str">
        <f aca="true">IF(T453="","",T453-TODAY())</f>
        <v/>
      </c>
      <c r="V453" s="21"/>
      <c r="W453" s="25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customFormat="false" ht="15" hidden="false" customHeight="false" outlineLevel="0" collapsed="false">
      <c r="A454" s="21"/>
      <c r="B454" s="21"/>
      <c r="C454" s="21"/>
      <c r="D454" s="21"/>
      <c r="E454" s="21"/>
      <c r="F454" s="21"/>
      <c r="G454" s="21"/>
      <c r="H454" s="21"/>
      <c r="I454" s="21"/>
      <c r="J454" s="22"/>
      <c r="K454" s="22"/>
      <c r="L454" s="22"/>
      <c r="M454" s="22"/>
      <c r="N454" s="23" t="str">
        <f aca="false">IF(C454="","",SUM(J454:M454))</f>
        <v/>
      </c>
      <c r="O454" s="24" t="str">
        <f aca="false">IF(C454="","",IF(OR(D454="Lucro Real",E454="Indústria",N454&gt;500),"A",IF(OR(D454="Lucro Presumido",I454="S",N454&gt;=100),"B","C")))</f>
        <v/>
      </c>
      <c r="P454" s="21"/>
      <c r="Q454" s="24" t="str">
        <f aca="false">IF(C454="","",IF(P454&lt;&gt;"",P454,O454))</f>
        <v/>
      </c>
      <c r="R454" s="21"/>
      <c r="S454" s="21"/>
      <c r="T454" s="25"/>
      <c r="U454" s="23" t="str">
        <f aca="true">IF(T454="","",T454-TODAY())</f>
        <v/>
      </c>
      <c r="V454" s="21"/>
      <c r="W454" s="25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customFormat="false" ht="15" hidden="false" customHeight="false" outlineLevel="0" collapsed="false">
      <c r="A455" s="21"/>
      <c r="B455" s="21"/>
      <c r="C455" s="21"/>
      <c r="D455" s="21"/>
      <c r="E455" s="21"/>
      <c r="F455" s="21"/>
      <c r="G455" s="21"/>
      <c r="H455" s="21"/>
      <c r="I455" s="21"/>
      <c r="J455" s="22"/>
      <c r="K455" s="22"/>
      <c r="L455" s="22"/>
      <c r="M455" s="22"/>
      <c r="N455" s="23" t="str">
        <f aca="false">IF(C455="","",SUM(J455:M455))</f>
        <v/>
      </c>
      <c r="O455" s="24" t="str">
        <f aca="false">IF(C455="","",IF(OR(D455="Lucro Real",E455="Indústria",N455&gt;500),"A",IF(OR(D455="Lucro Presumido",I455="S",N455&gt;=100),"B","C")))</f>
        <v/>
      </c>
      <c r="P455" s="21"/>
      <c r="Q455" s="24" t="str">
        <f aca="false">IF(C455="","",IF(P455&lt;&gt;"",P455,O455))</f>
        <v/>
      </c>
      <c r="R455" s="21"/>
      <c r="S455" s="21"/>
      <c r="T455" s="25"/>
      <c r="U455" s="23" t="str">
        <f aca="true">IF(T455="","",T455-TODAY())</f>
        <v/>
      </c>
      <c r="V455" s="21"/>
      <c r="W455" s="25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customFormat="false" ht="15" hidden="false" customHeight="false" outlineLevel="0" collapsed="false">
      <c r="A456" s="21"/>
      <c r="B456" s="21"/>
      <c r="C456" s="21"/>
      <c r="D456" s="21"/>
      <c r="E456" s="21"/>
      <c r="F456" s="21"/>
      <c r="G456" s="21"/>
      <c r="H456" s="21"/>
      <c r="I456" s="21"/>
      <c r="J456" s="22"/>
      <c r="K456" s="22"/>
      <c r="L456" s="22"/>
      <c r="M456" s="22"/>
      <c r="N456" s="23" t="str">
        <f aca="false">IF(C456="","",SUM(J456:M456))</f>
        <v/>
      </c>
      <c r="O456" s="24" t="str">
        <f aca="false">IF(C456="","",IF(OR(D456="Lucro Real",E456="Indústria",N456&gt;500),"A",IF(OR(D456="Lucro Presumido",I456="S",N456&gt;=100),"B","C")))</f>
        <v/>
      </c>
      <c r="P456" s="21"/>
      <c r="Q456" s="24" t="str">
        <f aca="false">IF(C456="","",IF(P456&lt;&gt;"",P456,O456))</f>
        <v/>
      </c>
      <c r="R456" s="21"/>
      <c r="S456" s="21"/>
      <c r="T456" s="25"/>
      <c r="U456" s="23" t="str">
        <f aca="true">IF(T456="","",T456-TODAY())</f>
        <v/>
      </c>
      <c r="V456" s="21"/>
      <c r="W456" s="25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customFormat="false" ht="15" hidden="false" customHeight="false" outlineLevel="0" collapsed="false">
      <c r="A457" s="21"/>
      <c r="B457" s="21"/>
      <c r="C457" s="21"/>
      <c r="D457" s="21"/>
      <c r="E457" s="21"/>
      <c r="F457" s="21"/>
      <c r="G457" s="21"/>
      <c r="H457" s="21"/>
      <c r="I457" s="21"/>
      <c r="J457" s="22"/>
      <c r="K457" s="22"/>
      <c r="L457" s="22"/>
      <c r="M457" s="22"/>
      <c r="N457" s="23" t="str">
        <f aca="false">IF(C457="","",SUM(J457:M457))</f>
        <v/>
      </c>
      <c r="O457" s="24" t="str">
        <f aca="false">IF(C457="","",IF(OR(D457="Lucro Real",E457="Indústria",N457&gt;500),"A",IF(OR(D457="Lucro Presumido",I457="S",N457&gt;=100),"B","C")))</f>
        <v/>
      </c>
      <c r="P457" s="21"/>
      <c r="Q457" s="24" t="str">
        <f aca="false">IF(C457="","",IF(P457&lt;&gt;"",P457,O457))</f>
        <v/>
      </c>
      <c r="R457" s="21"/>
      <c r="S457" s="21"/>
      <c r="T457" s="25"/>
      <c r="U457" s="23" t="str">
        <f aca="true">IF(T457="","",T457-TODAY())</f>
        <v/>
      </c>
      <c r="V457" s="21"/>
      <c r="W457" s="25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customFormat="false" ht="15" hidden="false" customHeight="false" outlineLevel="0" collapsed="false">
      <c r="A458" s="21"/>
      <c r="B458" s="21"/>
      <c r="C458" s="21"/>
      <c r="D458" s="21"/>
      <c r="E458" s="21"/>
      <c r="F458" s="21"/>
      <c r="G458" s="21"/>
      <c r="H458" s="21"/>
      <c r="I458" s="21"/>
      <c r="J458" s="22"/>
      <c r="K458" s="22"/>
      <c r="L458" s="22"/>
      <c r="M458" s="22"/>
      <c r="N458" s="23" t="str">
        <f aca="false">IF(C458="","",SUM(J458:M458))</f>
        <v/>
      </c>
      <c r="O458" s="24" t="str">
        <f aca="false">IF(C458="","",IF(OR(D458="Lucro Real",E458="Indústria",N458&gt;500),"A",IF(OR(D458="Lucro Presumido",I458="S",N458&gt;=100),"B","C")))</f>
        <v/>
      </c>
      <c r="P458" s="21"/>
      <c r="Q458" s="24" t="str">
        <f aca="false">IF(C458="","",IF(P458&lt;&gt;"",P458,O458))</f>
        <v/>
      </c>
      <c r="R458" s="21"/>
      <c r="S458" s="21"/>
      <c r="T458" s="25"/>
      <c r="U458" s="23" t="str">
        <f aca="true">IF(T458="","",T458-TODAY())</f>
        <v/>
      </c>
      <c r="V458" s="21"/>
      <c r="W458" s="25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customFormat="false" ht="15" hidden="false" customHeight="false" outlineLevel="0" collapsed="false">
      <c r="A459" s="21"/>
      <c r="B459" s="21"/>
      <c r="C459" s="21"/>
      <c r="D459" s="21"/>
      <c r="E459" s="21"/>
      <c r="F459" s="21"/>
      <c r="G459" s="21"/>
      <c r="H459" s="21"/>
      <c r="I459" s="21"/>
      <c r="J459" s="22"/>
      <c r="K459" s="22"/>
      <c r="L459" s="22"/>
      <c r="M459" s="22"/>
      <c r="N459" s="23" t="str">
        <f aca="false">IF(C459="","",SUM(J459:M459))</f>
        <v/>
      </c>
      <c r="O459" s="24" t="str">
        <f aca="false">IF(C459="","",IF(OR(D459="Lucro Real",E459="Indústria",N459&gt;500),"A",IF(OR(D459="Lucro Presumido",I459="S",N459&gt;=100),"B","C")))</f>
        <v/>
      </c>
      <c r="P459" s="21"/>
      <c r="Q459" s="24" t="str">
        <f aca="false">IF(C459="","",IF(P459&lt;&gt;"",P459,O459))</f>
        <v/>
      </c>
      <c r="R459" s="21"/>
      <c r="S459" s="21"/>
      <c r="T459" s="25"/>
      <c r="U459" s="23" t="str">
        <f aca="true">IF(T459="","",T459-TODAY())</f>
        <v/>
      </c>
      <c r="V459" s="21"/>
      <c r="W459" s="25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customFormat="false" ht="15" hidden="false" customHeight="false" outlineLevel="0" collapsed="false">
      <c r="A460" s="21"/>
      <c r="B460" s="21"/>
      <c r="C460" s="21"/>
      <c r="D460" s="21"/>
      <c r="E460" s="21"/>
      <c r="F460" s="21"/>
      <c r="G460" s="21"/>
      <c r="H460" s="21"/>
      <c r="I460" s="21"/>
      <c r="J460" s="22"/>
      <c r="K460" s="22"/>
      <c r="L460" s="22"/>
      <c r="M460" s="22"/>
      <c r="N460" s="23" t="str">
        <f aca="false">IF(C460="","",SUM(J460:M460))</f>
        <v/>
      </c>
      <c r="O460" s="24" t="str">
        <f aca="false">IF(C460="","",IF(OR(D460="Lucro Real",E460="Indústria",N460&gt;500),"A",IF(OR(D460="Lucro Presumido",I460="S",N460&gt;=100),"B","C")))</f>
        <v/>
      </c>
      <c r="P460" s="21"/>
      <c r="Q460" s="24" t="str">
        <f aca="false">IF(C460="","",IF(P460&lt;&gt;"",P460,O460))</f>
        <v/>
      </c>
      <c r="R460" s="21"/>
      <c r="S460" s="21"/>
      <c r="T460" s="25"/>
      <c r="U460" s="23" t="str">
        <f aca="true">IF(T460="","",T460-TODAY())</f>
        <v/>
      </c>
      <c r="V460" s="21"/>
      <c r="W460" s="25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customFormat="false" ht="15" hidden="false" customHeight="false" outlineLevel="0" collapsed="false">
      <c r="A461" s="21"/>
      <c r="B461" s="21"/>
      <c r="C461" s="21"/>
      <c r="D461" s="21"/>
      <c r="E461" s="21"/>
      <c r="F461" s="21"/>
      <c r="G461" s="21"/>
      <c r="H461" s="21"/>
      <c r="I461" s="21"/>
      <c r="J461" s="22"/>
      <c r="K461" s="22"/>
      <c r="L461" s="22"/>
      <c r="M461" s="22"/>
      <c r="N461" s="23" t="str">
        <f aca="false">IF(C461="","",SUM(J461:M461))</f>
        <v/>
      </c>
      <c r="O461" s="24" t="str">
        <f aca="false">IF(C461="","",IF(OR(D461="Lucro Real",E461="Indústria",N461&gt;500),"A",IF(OR(D461="Lucro Presumido",I461="S",N461&gt;=100),"B","C")))</f>
        <v/>
      </c>
      <c r="P461" s="21"/>
      <c r="Q461" s="24" t="str">
        <f aca="false">IF(C461="","",IF(P461&lt;&gt;"",P461,O461))</f>
        <v/>
      </c>
      <c r="R461" s="21"/>
      <c r="S461" s="21"/>
      <c r="T461" s="25"/>
      <c r="U461" s="23" t="str">
        <f aca="true">IF(T461="","",T461-TODAY())</f>
        <v/>
      </c>
      <c r="V461" s="21"/>
      <c r="W461" s="25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customFormat="false" ht="15" hidden="false" customHeight="false" outlineLevel="0" collapsed="false">
      <c r="A462" s="21"/>
      <c r="B462" s="21"/>
      <c r="C462" s="21"/>
      <c r="D462" s="21"/>
      <c r="E462" s="21"/>
      <c r="F462" s="21"/>
      <c r="G462" s="21"/>
      <c r="H462" s="21"/>
      <c r="I462" s="21"/>
      <c r="J462" s="22"/>
      <c r="K462" s="22"/>
      <c r="L462" s="22"/>
      <c r="M462" s="22"/>
      <c r="N462" s="23" t="str">
        <f aca="false">IF(C462="","",SUM(J462:M462))</f>
        <v/>
      </c>
      <c r="O462" s="24" t="str">
        <f aca="false">IF(C462="","",IF(OR(D462="Lucro Real",E462="Indústria",N462&gt;500),"A",IF(OR(D462="Lucro Presumido",I462="S",N462&gt;=100),"B","C")))</f>
        <v/>
      </c>
      <c r="P462" s="21"/>
      <c r="Q462" s="24" t="str">
        <f aca="false">IF(C462="","",IF(P462&lt;&gt;"",P462,O462))</f>
        <v/>
      </c>
      <c r="R462" s="21"/>
      <c r="S462" s="21"/>
      <c r="T462" s="25"/>
      <c r="U462" s="23" t="str">
        <f aca="true">IF(T462="","",T462-TODAY())</f>
        <v/>
      </c>
      <c r="V462" s="21"/>
      <c r="W462" s="25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customFormat="false" ht="15" hidden="false" customHeight="false" outlineLevel="0" collapsed="false">
      <c r="A463" s="21"/>
      <c r="B463" s="21"/>
      <c r="C463" s="21"/>
      <c r="D463" s="21"/>
      <c r="E463" s="21"/>
      <c r="F463" s="21"/>
      <c r="G463" s="21"/>
      <c r="H463" s="21"/>
      <c r="I463" s="21"/>
      <c r="J463" s="22"/>
      <c r="K463" s="22"/>
      <c r="L463" s="22"/>
      <c r="M463" s="22"/>
      <c r="N463" s="23" t="str">
        <f aca="false">IF(C463="","",SUM(J463:M463))</f>
        <v/>
      </c>
      <c r="O463" s="24" t="str">
        <f aca="false">IF(C463="","",IF(OR(D463="Lucro Real",E463="Indústria",N463&gt;500),"A",IF(OR(D463="Lucro Presumido",I463="S",N463&gt;=100),"B","C")))</f>
        <v/>
      </c>
      <c r="P463" s="21"/>
      <c r="Q463" s="24" t="str">
        <f aca="false">IF(C463="","",IF(P463&lt;&gt;"",P463,O463))</f>
        <v/>
      </c>
      <c r="R463" s="21"/>
      <c r="S463" s="21"/>
      <c r="T463" s="25"/>
      <c r="U463" s="23" t="str">
        <f aca="true">IF(T463="","",T463-TODAY())</f>
        <v/>
      </c>
      <c r="V463" s="21"/>
      <c r="W463" s="25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customFormat="false" ht="15" hidden="false" customHeight="false" outlineLevel="0" collapsed="false">
      <c r="A464" s="21"/>
      <c r="B464" s="21"/>
      <c r="C464" s="21"/>
      <c r="D464" s="21"/>
      <c r="E464" s="21"/>
      <c r="F464" s="21"/>
      <c r="G464" s="21"/>
      <c r="H464" s="21"/>
      <c r="I464" s="21"/>
      <c r="J464" s="22"/>
      <c r="K464" s="22"/>
      <c r="L464" s="22"/>
      <c r="M464" s="22"/>
      <c r="N464" s="23" t="str">
        <f aca="false">IF(C464="","",SUM(J464:M464))</f>
        <v/>
      </c>
      <c r="O464" s="24" t="str">
        <f aca="false">IF(C464="","",IF(OR(D464="Lucro Real",E464="Indústria",N464&gt;500),"A",IF(OR(D464="Lucro Presumido",I464="S",N464&gt;=100),"B","C")))</f>
        <v/>
      </c>
      <c r="P464" s="21"/>
      <c r="Q464" s="24" t="str">
        <f aca="false">IF(C464="","",IF(P464&lt;&gt;"",P464,O464))</f>
        <v/>
      </c>
      <c r="R464" s="21"/>
      <c r="S464" s="21"/>
      <c r="T464" s="25"/>
      <c r="U464" s="23" t="str">
        <f aca="true">IF(T464="","",T464-TODAY())</f>
        <v/>
      </c>
      <c r="V464" s="21"/>
      <c r="W464" s="25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customFormat="false" ht="15" hidden="false" customHeight="false" outlineLevel="0" collapsed="false">
      <c r="A465" s="21"/>
      <c r="B465" s="21"/>
      <c r="C465" s="21"/>
      <c r="D465" s="21"/>
      <c r="E465" s="21"/>
      <c r="F465" s="21"/>
      <c r="G465" s="21"/>
      <c r="H465" s="21"/>
      <c r="I465" s="21"/>
      <c r="J465" s="22"/>
      <c r="K465" s="22"/>
      <c r="L465" s="22"/>
      <c r="M465" s="22"/>
      <c r="N465" s="23" t="str">
        <f aca="false">IF(C465="","",SUM(J465:M465))</f>
        <v/>
      </c>
      <c r="O465" s="24" t="str">
        <f aca="false">IF(C465="","",IF(OR(D465="Lucro Real",E465="Indústria",N465&gt;500),"A",IF(OR(D465="Lucro Presumido",I465="S",N465&gt;=100),"B","C")))</f>
        <v/>
      </c>
      <c r="P465" s="21"/>
      <c r="Q465" s="24" t="str">
        <f aca="false">IF(C465="","",IF(P465&lt;&gt;"",P465,O465))</f>
        <v/>
      </c>
      <c r="R465" s="21"/>
      <c r="S465" s="21"/>
      <c r="T465" s="25"/>
      <c r="U465" s="23" t="str">
        <f aca="true">IF(T465="","",T465-TODAY())</f>
        <v/>
      </c>
      <c r="V465" s="21"/>
      <c r="W465" s="25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customFormat="false" ht="15" hidden="false" customHeight="false" outlineLevel="0" collapsed="false">
      <c r="A466" s="21"/>
      <c r="B466" s="21"/>
      <c r="C466" s="21"/>
      <c r="D466" s="21"/>
      <c r="E466" s="21"/>
      <c r="F466" s="21"/>
      <c r="G466" s="21"/>
      <c r="H466" s="21"/>
      <c r="I466" s="21"/>
      <c r="J466" s="22"/>
      <c r="K466" s="22"/>
      <c r="L466" s="22"/>
      <c r="M466" s="22"/>
      <c r="N466" s="23" t="str">
        <f aca="false">IF(C466="","",SUM(J466:M466))</f>
        <v/>
      </c>
      <c r="O466" s="24" t="str">
        <f aca="false">IF(C466="","",IF(OR(D466="Lucro Real",E466="Indústria",N466&gt;500),"A",IF(OR(D466="Lucro Presumido",I466="S",N466&gt;=100),"B","C")))</f>
        <v/>
      </c>
      <c r="P466" s="21"/>
      <c r="Q466" s="24" t="str">
        <f aca="false">IF(C466="","",IF(P466&lt;&gt;"",P466,O466))</f>
        <v/>
      </c>
      <c r="R466" s="21"/>
      <c r="S466" s="21"/>
      <c r="T466" s="25"/>
      <c r="U466" s="23" t="str">
        <f aca="true">IF(T466="","",T466-TODAY())</f>
        <v/>
      </c>
      <c r="V466" s="21"/>
      <c r="W466" s="25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customFormat="false" ht="15" hidden="false" customHeight="false" outlineLevel="0" collapsed="false">
      <c r="A467" s="21"/>
      <c r="B467" s="21"/>
      <c r="C467" s="21"/>
      <c r="D467" s="21"/>
      <c r="E467" s="21"/>
      <c r="F467" s="21"/>
      <c r="G467" s="21"/>
      <c r="H467" s="21"/>
      <c r="I467" s="21"/>
      <c r="J467" s="22"/>
      <c r="K467" s="22"/>
      <c r="L467" s="22"/>
      <c r="M467" s="22"/>
      <c r="N467" s="23" t="str">
        <f aca="false">IF(C467="","",SUM(J467:M467))</f>
        <v/>
      </c>
      <c r="O467" s="24" t="str">
        <f aca="false">IF(C467="","",IF(OR(D467="Lucro Real",E467="Indústria",N467&gt;500),"A",IF(OR(D467="Lucro Presumido",I467="S",N467&gt;=100),"B","C")))</f>
        <v/>
      </c>
      <c r="P467" s="21"/>
      <c r="Q467" s="24" t="str">
        <f aca="false">IF(C467="","",IF(P467&lt;&gt;"",P467,O467))</f>
        <v/>
      </c>
      <c r="R467" s="21"/>
      <c r="S467" s="21"/>
      <c r="T467" s="25"/>
      <c r="U467" s="23" t="str">
        <f aca="true">IF(T467="","",T467-TODAY())</f>
        <v/>
      </c>
      <c r="V467" s="21"/>
      <c r="W467" s="25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customFormat="false" ht="15" hidden="false" customHeight="false" outlineLevel="0" collapsed="false">
      <c r="A468" s="21"/>
      <c r="B468" s="21"/>
      <c r="C468" s="21"/>
      <c r="D468" s="21"/>
      <c r="E468" s="21"/>
      <c r="F468" s="21"/>
      <c r="G468" s="21"/>
      <c r="H468" s="21"/>
      <c r="I468" s="21"/>
      <c r="J468" s="22"/>
      <c r="K468" s="22"/>
      <c r="L468" s="22"/>
      <c r="M468" s="22"/>
      <c r="N468" s="23" t="str">
        <f aca="false">IF(C468="","",SUM(J468:M468))</f>
        <v/>
      </c>
      <c r="O468" s="24" t="str">
        <f aca="false">IF(C468="","",IF(OR(D468="Lucro Real",E468="Indústria",N468&gt;500),"A",IF(OR(D468="Lucro Presumido",I468="S",N468&gt;=100),"B","C")))</f>
        <v/>
      </c>
      <c r="P468" s="21"/>
      <c r="Q468" s="24" t="str">
        <f aca="false">IF(C468="","",IF(P468&lt;&gt;"",P468,O468))</f>
        <v/>
      </c>
      <c r="R468" s="21"/>
      <c r="S468" s="21"/>
      <c r="T468" s="25"/>
      <c r="U468" s="23" t="str">
        <f aca="true">IF(T468="","",T468-TODAY())</f>
        <v/>
      </c>
      <c r="V468" s="21"/>
      <c r="W468" s="25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customFormat="false" ht="15" hidden="false" customHeight="false" outlineLevel="0" collapsed="false">
      <c r="A469" s="21"/>
      <c r="B469" s="21"/>
      <c r="C469" s="21"/>
      <c r="D469" s="21"/>
      <c r="E469" s="21"/>
      <c r="F469" s="21"/>
      <c r="G469" s="21"/>
      <c r="H469" s="21"/>
      <c r="I469" s="21"/>
      <c r="J469" s="22"/>
      <c r="K469" s="22"/>
      <c r="L469" s="22"/>
      <c r="M469" s="22"/>
      <c r="N469" s="23" t="str">
        <f aca="false">IF(C469="","",SUM(J469:M469))</f>
        <v/>
      </c>
      <c r="O469" s="24" t="str">
        <f aca="false">IF(C469="","",IF(OR(D469="Lucro Real",E469="Indústria",N469&gt;500),"A",IF(OR(D469="Lucro Presumido",I469="S",N469&gt;=100),"B","C")))</f>
        <v/>
      </c>
      <c r="P469" s="21"/>
      <c r="Q469" s="24" t="str">
        <f aca="false">IF(C469="","",IF(P469&lt;&gt;"",P469,O469))</f>
        <v/>
      </c>
      <c r="R469" s="21"/>
      <c r="S469" s="21"/>
      <c r="T469" s="25"/>
      <c r="U469" s="23" t="str">
        <f aca="true">IF(T469="","",T469-TODAY())</f>
        <v/>
      </c>
      <c r="V469" s="21"/>
      <c r="W469" s="25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customFormat="false" ht="15" hidden="false" customHeight="false" outlineLevel="0" collapsed="false">
      <c r="A470" s="21"/>
      <c r="B470" s="21"/>
      <c r="C470" s="21"/>
      <c r="D470" s="21"/>
      <c r="E470" s="21"/>
      <c r="F470" s="21"/>
      <c r="G470" s="21"/>
      <c r="H470" s="21"/>
      <c r="I470" s="21"/>
      <c r="J470" s="22"/>
      <c r="K470" s="22"/>
      <c r="L470" s="22"/>
      <c r="M470" s="22"/>
      <c r="N470" s="23" t="str">
        <f aca="false">IF(C470="","",SUM(J470:M470))</f>
        <v/>
      </c>
      <c r="O470" s="24" t="str">
        <f aca="false">IF(C470="","",IF(OR(D470="Lucro Real",E470="Indústria",N470&gt;500),"A",IF(OR(D470="Lucro Presumido",I470="S",N470&gt;=100),"B","C")))</f>
        <v/>
      </c>
      <c r="P470" s="21"/>
      <c r="Q470" s="24" t="str">
        <f aca="false">IF(C470="","",IF(P470&lt;&gt;"",P470,O470))</f>
        <v/>
      </c>
      <c r="R470" s="21"/>
      <c r="S470" s="21"/>
      <c r="T470" s="25"/>
      <c r="U470" s="23" t="str">
        <f aca="true">IF(T470="","",T470-TODAY())</f>
        <v/>
      </c>
      <c r="V470" s="21"/>
      <c r="W470" s="25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customFormat="false" ht="15" hidden="false" customHeight="false" outlineLevel="0" collapsed="false">
      <c r="A471" s="21"/>
      <c r="B471" s="21"/>
      <c r="C471" s="21"/>
      <c r="D471" s="21"/>
      <c r="E471" s="21"/>
      <c r="F471" s="21"/>
      <c r="G471" s="21"/>
      <c r="H471" s="21"/>
      <c r="I471" s="21"/>
      <c r="J471" s="22"/>
      <c r="K471" s="22"/>
      <c r="L471" s="22"/>
      <c r="M471" s="22"/>
      <c r="N471" s="23" t="str">
        <f aca="false">IF(C471="","",SUM(J471:M471))</f>
        <v/>
      </c>
      <c r="O471" s="24" t="str">
        <f aca="false">IF(C471="","",IF(OR(D471="Lucro Real",E471="Indústria",N471&gt;500),"A",IF(OR(D471="Lucro Presumido",I471="S",N471&gt;=100),"B","C")))</f>
        <v/>
      </c>
      <c r="P471" s="21"/>
      <c r="Q471" s="24" t="str">
        <f aca="false">IF(C471="","",IF(P471&lt;&gt;"",P471,O471))</f>
        <v/>
      </c>
      <c r="R471" s="21"/>
      <c r="S471" s="21"/>
      <c r="T471" s="25"/>
      <c r="U471" s="23" t="str">
        <f aca="true">IF(T471="","",T471-TODAY())</f>
        <v/>
      </c>
      <c r="V471" s="21"/>
      <c r="W471" s="25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customFormat="false" ht="15" hidden="false" customHeight="false" outlineLevel="0" collapsed="false">
      <c r="A472" s="21"/>
      <c r="B472" s="21"/>
      <c r="C472" s="21"/>
      <c r="D472" s="21"/>
      <c r="E472" s="21"/>
      <c r="F472" s="21"/>
      <c r="G472" s="21"/>
      <c r="H472" s="21"/>
      <c r="I472" s="21"/>
      <c r="J472" s="22"/>
      <c r="K472" s="22"/>
      <c r="L472" s="22"/>
      <c r="M472" s="22"/>
      <c r="N472" s="23" t="str">
        <f aca="false">IF(C472="","",SUM(J472:M472))</f>
        <v/>
      </c>
      <c r="O472" s="24" t="str">
        <f aca="false">IF(C472="","",IF(OR(D472="Lucro Real",E472="Indústria",N472&gt;500),"A",IF(OR(D472="Lucro Presumido",I472="S",N472&gt;=100),"B","C")))</f>
        <v/>
      </c>
      <c r="P472" s="21"/>
      <c r="Q472" s="24" t="str">
        <f aca="false">IF(C472="","",IF(P472&lt;&gt;"",P472,O472))</f>
        <v/>
      </c>
      <c r="R472" s="21"/>
      <c r="S472" s="21"/>
      <c r="T472" s="25"/>
      <c r="U472" s="23" t="str">
        <f aca="true">IF(T472="","",T472-TODAY())</f>
        <v/>
      </c>
      <c r="V472" s="21"/>
      <c r="W472" s="25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customFormat="false" ht="15" hidden="false" customHeight="false" outlineLevel="0" collapsed="false">
      <c r="A473" s="21"/>
      <c r="B473" s="21"/>
      <c r="C473" s="21"/>
      <c r="D473" s="21"/>
      <c r="E473" s="21"/>
      <c r="F473" s="21"/>
      <c r="G473" s="21"/>
      <c r="H473" s="21"/>
      <c r="I473" s="21"/>
      <c r="J473" s="22"/>
      <c r="K473" s="22"/>
      <c r="L473" s="22"/>
      <c r="M473" s="22"/>
      <c r="N473" s="23" t="str">
        <f aca="false">IF(C473="","",SUM(J473:M473))</f>
        <v/>
      </c>
      <c r="O473" s="24" t="str">
        <f aca="false">IF(C473="","",IF(OR(D473="Lucro Real",E473="Indústria",N473&gt;500),"A",IF(OR(D473="Lucro Presumido",I473="S",N473&gt;=100),"B","C")))</f>
        <v/>
      </c>
      <c r="P473" s="21"/>
      <c r="Q473" s="24" t="str">
        <f aca="false">IF(C473="","",IF(P473&lt;&gt;"",P473,O473))</f>
        <v/>
      </c>
      <c r="R473" s="21"/>
      <c r="S473" s="21"/>
      <c r="T473" s="25"/>
      <c r="U473" s="23" t="str">
        <f aca="true">IF(T473="","",T473-TODAY())</f>
        <v/>
      </c>
      <c r="V473" s="21"/>
      <c r="W473" s="25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customFormat="false" ht="15" hidden="false" customHeight="false" outlineLevel="0" collapsed="false">
      <c r="A474" s="21"/>
      <c r="B474" s="21"/>
      <c r="C474" s="21"/>
      <c r="D474" s="21"/>
      <c r="E474" s="21"/>
      <c r="F474" s="21"/>
      <c r="G474" s="21"/>
      <c r="H474" s="21"/>
      <c r="I474" s="21"/>
      <c r="J474" s="22"/>
      <c r="K474" s="22"/>
      <c r="L474" s="22"/>
      <c r="M474" s="22"/>
      <c r="N474" s="23" t="str">
        <f aca="false">IF(C474="","",SUM(J474:M474))</f>
        <v/>
      </c>
      <c r="O474" s="24" t="str">
        <f aca="false">IF(C474="","",IF(OR(D474="Lucro Real",E474="Indústria",N474&gt;500),"A",IF(OR(D474="Lucro Presumido",I474="S",N474&gt;=100),"B","C")))</f>
        <v/>
      </c>
      <c r="P474" s="21"/>
      <c r="Q474" s="24" t="str">
        <f aca="false">IF(C474="","",IF(P474&lt;&gt;"",P474,O474))</f>
        <v/>
      </c>
      <c r="R474" s="21"/>
      <c r="S474" s="21"/>
      <c r="T474" s="25"/>
      <c r="U474" s="23" t="str">
        <f aca="true">IF(T474="","",T474-TODAY())</f>
        <v/>
      </c>
      <c r="V474" s="21"/>
      <c r="W474" s="25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customFormat="false" ht="15" hidden="false" customHeight="false" outlineLevel="0" collapsed="false">
      <c r="A475" s="21"/>
      <c r="B475" s="21"/>
      <c r="C475" s="21"/>
      <c r="D475" s="21"/>
      <c r="E475" s="21"/>
      <c r="F475" s="21"/>
      <c r="G475" s="21"/>
      <c r="H475" s="21"/>
      <c r="I475" s="21"/>
      <c r="J475" s="22"/>
      <c r="K475" s="22"/>
      <c r="L475" s="22"/>
      <c r="M475" s="22"/>
      <c r="N475" s="23" t="str">
        <f aca="false">IF(C475="","",SUM(J475:M475))</f>
        <v/>
      </c>
      <c r="O475" s="24" t="str">
        <f aca="false">IF(C475="","",IF(OR(D475="Lucro Real",E475="Indústria",N475&gt;500),"A",IF(OR(D475="Lucro Presumido",I475="S",N475&gt;=100),"B","C")))</f>
        <v/>
      </c>
      <c r="P475" s="21"/>
      <c r="Q475" s="24" t="str">
        <f aca="false">IF(C475="","",IF(P475&lt;&gt;"",P475,O475))</f>
        <v/>
      </c>
      <c r="R475" s="21"/>
      <c r="S475" s="21"/>
      <c r="T475" s="25"/>
      <c r="U475" s="23" t="str">
        <f aca="true">IF(T475="","",T475-TODAY())</f>
        <v/>
      </c>
      <c r="V475" s="21"/>
      <c r="W475" s="25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customFormat="false" ht="15" hidden="false" customHeight="false" outlineLevel="0" collapsed="false">
      <c r="A476" s="21"/>
      <c r="B476" s="21"/>
      <c r="C476" s="21"/>
      <c r="D476" s="21"/>
      <c r="E476" s="21"/>
      <c r="F476" s="21"/>
      <c r="G476" s="21"/>
      <c r="H476" s="21"/>
      <c r="I476" s="21"/>
      <c r="J476" s="22"/>
      <c r="K476" s="22"/>
      <c r="L476" s="22"/>
      <c r="M476" s="22"/>
      <c r="N476" s="23" t="str">
        <f aca="false">IF(C476="","",SUM(J476:M476))</f>
        <v/>
      </c>
      <c r="O476" s="24" t="str">
        <f aca="false">IF(C476="","",IF(OR(D476="Lucro Real",E476="Indústria",N476&gt;500),"A",IF(OR(D476="Lucro Presumido",I476="S",N476&gt;=100),"B","C")))</f>
        <v/>
      </c>
      <c r="P476" s="21"/>
      <c r="Q476" s="24" t="str">
        <f aca="false">IF(C476="","",IF(P476&lt;&gt;"",P476,O476))</f>
        <v/>
      </c>
      <c r="R476" s="21"/>
      <c r="S476" s="21"/>
      <c r="T476" s="25"/>
      <c r="U476" s="23" t="str">
        <f aca="true">IF(T476="","",T476-TODAY())</f>
        <v/>
      </c>
      <c r="V476" s="21"/>
      <c r="W476" s="25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customFormat="false" ht="15" hidden="false" customHeight="false" outlineLevel="0" collapsed="false">
      <c r="A477" s="21"/>
      <c r="B477" s="21"/>
      <c r="C477" s="21"/>
      <c r="D477" s="21"/>
      <c r="E477" s="21"/>
      <c r="F477" s="21"/>
      <c r="G477" s="21"/>
      <c r="H477" s="21"/>
      <c r="I477" s="21"/>
      <c r="J477" s="22"/>
      <c r="K477" s="22"/>
      <c r="L477" s="22"/>
      <c r="M477" s="22"/>
      <c r="N477" s="23" t="str">
        <f aca="false">IF(C477="","",SUM(J477:M477))</f>
        <v/>
      </c>
      <c r="O477" s="24" t="str">
        <f aca="false">IF(C477="","",IF(OR(D477="Lucro Real",E477="Indústria",N477&gt;500),"A",IF(OR(D477="Lucro Presumido",I477="S",N477&gt;=100),"B","C")))</f>
        <v/>
      </c>
      <c r="P477" s="21"/>
      <c r="Q477" s="24" t="str">
        <f aca="false">IF(C477="","",IF(P477&lt;&gt;"",P477,O477))</f>
        <v/>
      </c>
      <c r="R477" s="21"/>
      <c r="S477" s="21"/>
      <c r="T477" s="25"/>
      <c r="U477" s="23" t="str">
        <f aca="true">IF(T477="","",T477-TODAY())</f>
        <v/>
      </c>
      <c r="V477" s="21"/>
      <c r="W477" s="25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customFormat="false" ht="15" hidden="false" customHeight="false" outlineLevel="0" collapsed="false">
      <c r="A478" s="21"/>
      <c r="B478" s="21"/>
      <c r="C478" s="21"/>
      <c r="D478" s="21"/>
      <c r="E478" s="21"/>
      <c r="F478" s="21"/>
      <c r="G478" s="21"/>
      <c r="H478" s="21"/>
      <c r="I478" s="21"/>
      <c r="J478" s="22"/>
      <c r="K478" s="22"/>
      <c r="L478" s="22"/>
      <c r="M478" s="22"/>
      <c r="N478" s="23" t="str">
        <f aca="false">IF(C478="","",SUM(J478:M478))</f>
        <v/>
      </c>
      <c r="O478" s="24" t="str">
        <f aca="false">IF(C478="","",IF(OR(D478="Lucro Real",E478="Indústria",N478&gt;500),"A",IF(OR(D478="Lucro Presumido",I478="S",N478&gt;=100),"B","C")))</f>
        <v/>
      </c>
      <c r="P478" s="21"/>
      <c r="Q478" s="24" t="str">
        <f aca="false">IF(C478="","",IF(P478&lt;&gt;"",P478,O478))</f>
        <v/>
      </c>
      <c r="R478" s="21"/>
      <c r="S478" s="21"/>
      <c r="T478" s="25"/>
      <c r="U478" s="23" t="str">
        <f aca="true">IF(T478="","",T478-TODAY())</f>
        <v/>
      </c>
      <c r="V478" s="21"/>
      <c r="W478" s="25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customFormat="false" ht="15" hidden="false" customHeight="false" outlineLevel="0" collapsed="false">
      <c r="A479" s="21"/>
      <c r="B479" s="21"/>
      <c r="C479" s="21"/>
      <c r="D479" s="21"/>
      <c r="E479" s="21"/>
      <c r="F479" s="21"/>
      <c r="G479" s="21"/>
      <c r="H479" s="21"/>
      <c r="I479" s="21"/>
      <c r="J479" s="22"/>
      <c r="K479" s="22"/>
      <c r="L479" s="22"/>
      <c r="M479" s="22"/>
      <c r="N479" s="23" t="str">
        <f aca="false">IF(C479="","",SUM(J479:M479))</f>
        <v/>
      </c>
      <c r="O479" s="24" t="str">
        <f aca="false">IF(C479="","",IF(OR(D479="Lucro Real",E479="Indústria",N479&gt;500),"A",IF(OR(D479="Lucro Presumido",I479="S",N479&gt;=100),"B","C")))</f>
        <v/>
      </c>
      <c r="P479" s="21"/>
      <c r="Q479" s="24" t="str">
        <f aca="false">IF(C479="","",IF(P479&lt;&gt;"",P479,O479))</f>
        <v/>
      </c>
      <c r="R479" s="21"/>
      <c r="S479" s="21"/>
      <c r="T479" s="25"/>
      <c r="U479" s="23" t="str">
        <f aca="true">IF(T479="","",T479-TODAY())</f>
        <v/>
      </c>
      <c r="V479" s="21"/>
      <c r="W479" s="25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customFormat="false" ht="15" hidden="false" customHeight="false" outlineLevel="0" collapsed="false">
      <c r="A480" s="21"/>
      <c r="B480" s="21"/>
      <c r="C480" s="21"/>
      <c r="D480" s="21"/>
      <c r="E480" s="21"/>
      <c r="F480" s="21"/>
      <c r="G480" s="21"/>
      <c r="H480" s="21"/>
      <c r="I480" s="21"/>
      <c r="J480" s="22"/>
      <c r="K480" s="22"/>
      <c r="L480" s="22"/>
      <c r="M480" s="22"/>
      <c r="N480" s="23" t="str">
        <f aca="false">IF(C480="","",SUM(J480:M480))</f>
        <v/>
      </c>
      <c r="O480" s="24" t="str">
        <f aca="false">IF(C480="","",IF(OR(D480="Lucro Real",E480="Indústria",N480&gt;500),"A",IF(OR(D480="Lucro Presumido",I480="S",N480&gt;=100),"B","C")))</f>
        <v/>
      </c>
      <c r="P480" s="21"/>
      <c r="Q480" s="24" t="str">
        <f aca="false">IF(C480="","",IF(P480&lt;&gt;"",P480,O480))</f>
        <v/>
      </c>
      <c r="R480" s="21"/>
      <c r="S480" s="21"/>
      <c r="T480" s="25"/>
      <c r="U480" s="23" t="str">
        <f aca="true">IF(T480="","",T480-TODAY())</f>
        <v/>
      </c>
      <c r="V480" s="21"/>
      <c r="W480" s="25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customFormat="false" ht="15" hidden="false" customHeight="false" outlineLevel="0" collapsed="false">
      <c r="A481" s="21"/>
      <c r="B481" s="21"/>
      <c r="C481" s="21"/>
      <c r="D481" s="21"/>
      <c r="E481" s="21"/>
      <c r="F481" s="21"/>
      <c r="G481" s="21"/>
      <c r="H481" s="21"/>
      <c r="I481" s="21"/>
      <c r="J481" s="22"/>
      <c r="K481" s="22"/>
      <c r="L481" s="22"/>
      <c r="M481" s="22"/>
      <c r="N481" s="23" t="str">
        <f aca="false">IF(C481="","",SUM(J481:M481))</f>
        <v/>
      </c>
      <c r="O481" s="24" t="str">
        <f aca="false">IF(C481="","",IF(OR(D481="Lucro Real",E481="Indústria",N481&gt;500),"A",IF(OR(D481="Lucro Presumido",I481="S",N481&gt;=100),"B","C")))</f>
        <v/>
      </c>
      <c r="P481" s="21"/>
      <c r="Q481" s="24" t="str">
        <f aca="false">IF(C481="","",IF(P481&lt;&gt;"",P481,O481))</f>
        <v/>
      </c>
      <c r="R481" s="21"/>
      <c r="S481" s="21"/>
      <c r="T481" s="25"/>
      <c r="U481" s="23" t="str">
        <f aca="true">IF(T481="","",T481-TODAY())</f>
        <v/>
      </c>
      <c r="V481" s="21"/>
      <c r="W481" s="25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customFormat="false" ht="15" hidden="false" customHeight="false" outlineLevel="0" collapsed="false">
      <c r="A482" s="21"/>
      <c r="B482" s="21"/>
      <c r="C482" s="21"/>
      <c r="D482" s="21"/>
      <c r="E482" s="21"/>
      <c r="F482" s="21"/>
      <c r="G482" s="21"/>
      <c r="H482" s="21"/>
      <c r="I482" s="21"/>
      <c r="J482" s="22"/>
      <c r="K482" s="22"/>
      <c r="L482" s="22"/>
      <c r="M482" s="22"/>
      <c r="N482" s="23" t="str">
        <f aca="false">IF(C482="","",SUM(J482:M482))</f>
        <v/>
      </c>
      <c r="O482" s="24" t="str">
        <f aca="false">IF(C482="","",IF(OR(D482="Lucro Real",E482="Indústria",N482&gt;500),"A",IF(OR(D482="Lucro Presumido",I482="S",N482&gt;=100),"B","C")))</f>
        <v/>
      </c>
      <c r="P482" s="21"/>
      <c r="Q482" s="24" t="str">
        <f aca="false">IF(C482="","",IF(P482&lt;&gt;"",P482,O482))</f>
        <v/>
      </c>
      <c r="R482" s="21"/>
      <c r="S482" s="21"/>
      <c r="T482" s="25"/>
      <c r="U482" s="23" t="str">
        <f aca="true">IF(T482="","",T482-TODAY())</f>
        <v/>
      </c>
      <c r="V482" s="21"/>
      <c r="W482" s="25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customFormat="false" ht="15" hidden="false" customHeight="false" outlineLevel="0" collapsed="false">
      <c r="A483" s="21"/>
      <c r="B483" s="21"/>
      <c r="C483" s="21"/>
      <c r="D483" s="21"/>
      <c r="E483" s="21"/>
      <c r="F483" s="21"/>
      <c r="G483" s="21"/>
      <c r="H483" s="21"/>
      <c r="I483" s="21"/>
      <c r="J483" s="22"/>
      <c r="K483" s="22"/>
      <c r="L483" s="22"/>
      <c r="M483" s="22"/>
      <c r="N483" s="23" t="str">
        <f aca="false">IF(C483="","",SUM(J483:M483))</f>
        <v/>
      </c>
      <c r="O483" s="24" t="str">
        <f aca="false">IF(C483="","",IF(OR(D483="Lucro Real",E483="Indústria",N483&gt;500),"A",IF(OR(D483="Lucro Presumido",I483="S",N483&gt;=100),"B","C")))</f>
        <v/>
      </c>
      <c r="P483" s="21"/>
      <c r="Q483" s="24" t="str">
        <f aca="false">IF(C483="","",IF(P483&lt;&gt;"",P483,O483))</f>
        <v/>
      </c>
      <c r="R483" s="21"/>
      <c r="S483" s="21"/>
      <c r="T483" s="25"/>
      <c r="U483" s="23" t="str">
        <f aca="true">IF(T483="","",T483-TODAY())</f>
        <v/>
      </c>
      <c r="V483" s="21"/>
      <c r="W483" s="25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customFormat="false" ht="15" hidden="false" customHeight="false" outlineLevel="0" collapsed="false">
      <c r="A484" s="21"/>
      <c r="B484" s="21"/>
      <c r="C484" s="21"/>
      <c r="D484" s="21"/>
      <c r="E484" s="21"/>
      <c r="F484" s="21"/>
      <c r="G484" s="21"/>
      <c r="H484" s="21"/>
      <c r="I484" s="21"/>
      <c r="J484" s="22"/>
      <c r="K484" s="22"/>
      <c r="L484" s="22"/>
      <c r="M484" s="22"/>
      <c r="N484" s="23" t="str">
        <f aca="false">IF(C484="","",SUM(J484:M484))</f>
        <v/>
      </c>
      <c r="O484" s="24" t="str">
        <f aca="false">IF(C484="","",IF(OR(D484="Lucro Real",E484="Indústria",N484&gt;500),"A",IF(OR(D484="Lucro Presumido",I484="S",N484&gt;=100),"B","C")))</f>
        <v/>
      </c>
      <c r="P484" s="21"/>
      <c r="Q484" s="24" t="str">
        <f aca="false">IF(C484="","",IF(P484&lt;&gt;"",P484,O484))</f>
        <v/>
      </c>
      <c r="R484" s="21"/>
      <c r="S484" s="21"/>
      <c r="T484" s="25"/>
      <c r="U484" s="23" t="str">
        <f aca="true">IF(T484="","",T484-TODAY())</f>
        <v/>
      </c>
      <c r="V484" s="21"/>
      <c r="W484" s="25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customFormat="false" ht="15" hidden="false" customHeight="false" outlineLevel="0" collapsed="false">
      <c r="A485" s="21"/>
      <c r="B485" s="21"/>
      <c r="C485" s="21"/>
      <c r="D485" s="21"/>
      <c r="E485" s="21"/>
      <c r="F485" s="21"/>
      <c r="G485" s="21"/>
      <c r="H485" s="21"/>
      <c r="I485" s="21"/>
      <c r="J485" s="22"/>
      <c r="K485" s="22"/>
      <c r="L485" s="22"/>
      <c r="M485" s="22"/>
      <c r="N485" s="23" t="str">
        <f aca="false">IF(C485="","",SUM(J485:M485))</f>
        <v/>
      </c>
      <c r="O485" s="24" t="str">
        <f aca="false">IF(C485="","",IF(OR(D485="Lucro Real",E485="Indústria",N485&gt;500),"A",IF(OR(D485="Lucro Presumido",I485="S",N485&gt;=100),"B","C")))</f>
        <v/>
      </c>
      <c r="P485" s="21"/>
      <c r="Q485" s="24" t="str">
        <f aca="false">IF(C485="","",IF(P485&lt;&gt;"",P485,O485))</f>
        <v/>
      </c>
      <c r="R485" s="21"/>
      <c r="S485" s="21"/>
      <c r="T485" s="25"/>
      <c r="U485" s="23" t="str">
        <f aca="true">IF(T485="","",T485-TODAY())</f>
        <v/>
      </c>
      <c r="V485" s="21"/>
      <c r="W485" s="25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customFormat="false" ht="15" hidden="false" customHeight="false" outlineLevel="0" collapsed="false">
      <c r="A486" s="21"/>
      <c r="B486" s="21"/>
      <c r="C486" s="21"/>
      <c r="D486" s="21"/>
      <c r="E486" s="21"/>
      <c r="F486" s="21"/>
      <c r="G486" s="21"/>
      <c r="H486" s="21"/>
      <c r="I486" s="21"/>
      <c r="J486" s="22"/>
      <c r="K486" s="22"/>
      <c r="L486" s="22"/>
      <c r="M486" s="22"/>
      <c r="N486" s="23" t="str">
        <f aca="false">IF(C486="","",SUM(J486:M486))</f>
        <v/>
      </c>
      <c r="O486" s="24" t="str">
        <f aca="false">IF(C486="","",IF(OR(D486="Lucro Real",E486="Indústria",N486&gt;500),"A",IF(OR(D486="Lucro Presumido",I486="S",N486&gt;=100),"B","C")))</f>
        <v/>
      </c>
      <c r="P486" s="21"/>
      <c r="Q486" s="24" t="str">
        <f aca="false">IF(C486="","",IF(P486&lt;&gt;"",P486,O486))</f>
        <v/>
      </c>
      <c r="R486" s="21"/>
      <c r="S486" s="21"/>
      <c r="T486" s="25"/>
      <c r="U486" s="23" t="str">
        <f aca="true">IF(T486="","",T486-TODAY())</f>
        <v/>
      </c>
      <c r="V486" s="21"/>
      <c r="W486" s="25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customFormat="false" ht="15" hidden="false" customHeight="false" outlineLevel="0" collapsed="false">
      <c r="A487" s="21"/>
      <c r="B487" s="21"/>
      <c r="C487" s="21"/>
      <c r="D487" s="21"/>
      <c r="E487" s="21"/>
      <c r="F487" s="21"/>
      <c r="G487" s="21"/>
      <c r="H487" s="21"/>
      <c r="I487" s="21"/>
      <c r="J487" s="22"/>
      <c r="K487" s="22"/>
      <c r="L487" s="22"/>
      <c r="M487" s="22"/>
      <c r="N487" s="23" t="str">
        <f aca="false">IF(C487="","",SUM(J487:M487))</f>
        <v/>
      </c>
      <c r="O487" s="24" t="str">
        <f aca="false">IF(C487="","",IF(OR(D487="Lucro Real",E487="Indústria",N487&gt;500),"A",IF(OR(D487="Lucro Presumido",I487="S",N487&gt;=100),"B","C")))</f>
        <v/>
      </c>
      <c r="P487" s="21"/>
      <c r="Q487" s="24" t="str">
        <f aca="false">IF(C487="","",IF(P487&lt;&gt;"",P487,O487))</f>
        <v/>
      </c>
      <c r="R487" s="21"/>
      <c r="S487" s="21"/>
      <c r="T487" s="25"/>
      <c r="U487" s="23" t="str">
        <f aca="true">IF(T487="","",T487-TODAY())</f>
        <v/>
      </c>
      <c r="V487" s="21"/>
      <c r="W487" s="25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customFormat="false" ht="15" hidden="false" customHeight="false" outlineLevel="0" collapsed="false">
      <c r="A488" s="21"/>
      <c r="B488" s="21"/>
      <c r="C488" s="21"/>
      <c r="D488" s="21"/>
      <c r="E488" s="21"/>
      <c r="F488" s="21"/>
      <c r="G488" s="21"/>
      <c r="H488" s="21"/>
      <c r="I488" s="21"/>
      <c r="J488" s="22"/>
      <c r="K488" s="22"/>
      <c r="L488" s="22"/>
      <c r="M488" s="22"/>
      <c r="N488" s="23" t="str">
        <f aca="false">IF(C488="","",SUM(J488:M488))</f>
        <v/>
      </c>
      <c r="O488" s="24" t="str">
        <f aca="false">IF(C488="","",IF(OR(D488="Lucro Real",E488="Indústria",N488&gt;500),"A",IF(OR(D488="Lucro Presumido",I488="S",N488&gt;=100),"B","C")))</f>
        <v/>
      </c>
      <c r="P488" s="21"/>
      <c r="Q488" s="24" t="str">
        <f aca="false">IF(C488="","",IF(P488&lt;&gt;"",P488,O488))</f>
        <v/>
      </c>
      <c r="R488" s="21"/>
      <c r="S488" s="21"/>
      <c r="T488" s="25"/>
      <c r="U488" s="23" t="str">
        <f aca="true">IF(T488="","",T488-TODAY())</f>
        <v/>
      </c>
      <c r="V488" s="21"/>
      <c r="W488" s="25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customFormat="false" ht="15" hidden="false" customHeight="false" outlineLevel="0" collapsed="false">
      <c r="A489" s="21"/>
      <c r="B489" s="21"/>
      <c r="C489" s="21"/>
      <c r="D489" s="21"/>
      <c r="E489" s="21"/>
      <c r="F489" s="21"/>
      <c r="G489" s="21"/>
      <c r="H489" s="21"/>
      <c r="I489" s="21"/>
      <c r="J489" s="22"/>
      <c r="K489" s="22"/>
      <c r="L489" s="22"/>
      <c r="M489" s="22"/>
      <c r="N489" s="23" t="str">
        <f aca="false">IF(C489="","",SUM(J489:M489))</f>
        <v/>
      </c>
      <c r="O489" s="24" t="str">
        <f aca="false">IF(C489="","",IF(OR(D489="Lucro Real",E489="Indústria",N489&gt;500),"A",IF(OR(D489="Lucro Presumido",I489="S",N489&gt;=100),"B","C")))</f>
        <v/>
      </c>
      <c r="P489" s="21"/>
      <c r="Q489" s="24" t="str">
        <f aca="false">IF(C489="","",IF(P489&lt;&gt;"",P489,O489))</f>
        <v/>
      </c>
      <c r="R489" s="21"/>
      <c r="S489" s="21"/>
      <c r="T489" s="25"/>
      <c r="U489" s="23" t="str">
        <f aca="true">IF(T489="","",T489-TODAY())</f>
        <v/>
      </c>
      <c r="V489" s="21"/>
      <c r="W489" s="25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customFormat="false" ht="15" hidden="false" customHeight="false" outlineLevel="0" collapsed="false">
      <c r="A490" s="21"/>
      <c r="B490" s="21"/>
      <c r="C490" s="21"/>
      <c r="D490" s="21"/>
      <c r="E490" s="21"/>
      <c r="F490" s="21"/>
      <c r="G490" s="21"/>
      <c r="H490" s="21"/>
      <c r="I490" s="21"/>
      <c r="J490" s="22"/>
      <c r="K490" s="22"/>
      <c r="L490" s="22"/>
      <c r="M490" s="22"/>
      <c r="N490" s="23" t="str">
        <f aca="false">IF(C490="","",SUM(J490:M490))</f>
        <v/>
      </c>
      <c r="O490" s="24" t="str">
        <f aca="false">IF(C490="","",IF(OR(D490="Lucro Real",E490="Indústria",N490&gt;500),"A",IF(OR(D490="Lucro Presumido",I490="S",N490&gt;=100),"B","C")))</f>
        <v/>
      </c>
      <c r="P490" s="21"/>
      <c r="Q490" s="24" t="str">
        <f aca="false">IF(C490="","",IF(P490&lt;&gt;"",P490,O490))</f>
        <v/>
      </c>
      <c r="R490" s="21"/>
      <c r="S490" s="21"/>
      <c r="T490" s="25"/>
      <c r="U490" s="23" t="str">
        <f aca="true">IF(T490="","",T490-TODAY())</f>
        <v/>
      </c>
      <c r="V490" s="21"/>
      <c r="W490" s="25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customFormat="false" ht="15" hidden="false" customHeight="false" outlineLevel="0" collapsed="false">
      <c r="A491" s="21"/>
      <c r="B491" s="21"/>
      <c r="C491" s="21"/>
      <c r="D491" s="21"/>
      <c r="E491" s="21"/>
      <c r="F491" s="21"/>
      <c r="G491" s="21"/>
      <c r="H491" s="21"/>
      <c r="I491" s="21"/>
      <c r="J491" s="22"/>
      <c r="K491" s="22"/>
      <c r="L491" s="22"/>
      <c r="M491" s="22"/>
      <c r="N491" s="23" t="str">
        <f aca="false">IF(C491="","",SUM(J491:M491))</f>
        <v/>
      </c>
      <c r="O491" s="24" t="str">
        <f aca="false">IF(C491="","",IF(OR(D491="Lucro Real",E491="Indústria",N491&gt;500),"A",IF(OR(D491="Lucro Presumido",I491="S",N491&gt;=100),"B","C")))</f>
        <v/>
      </c>
      <c r="P491" s="21"/>
      <c r="Q491" s="24" t="str">
        <f aca="false">IF(C491="","",IF(P491&lt;&gt;"",P491,O491))</f>
        <v/>
      </c>
      <c r="R491" s="21"/>
      <c r="S491" s="21"/>
      <c r="T491" s="25"/>
      <c r="U491" s="23" t="str">
        <f aca="true">IF(T491="","",T491-TODAY())</f>
        <v/>
      </c>
      <c r="V491" s="21"/>
      <c r="W491" s="25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customFormat="false" ht="15" hidden="false" customHeight="false" outlineLevel="0" collapsed="false">
      <c r="A492" s="21"/>
      <c r="B492" s="21"/>
      <c r="C492" s="21"/>
      <c r="D492" s="21"/>
      <c r="E492" s="21"/>
      <c r="F492" s="21"/>
      <c r="G492" s="21"/>
      <c r="H492" s="21"/>
      <c r="I492" s="21"/>
      <c r="J492" s="22"/>
      <c r="K492" s="22"/>
      <c r="L492" s="22"/>
      <c r="M492" s="22"/>
      <c r="N492" s="23" t="str">
        <f aca="false">IF(C492="","",SUM(J492:M492))</f>
        <v/>
      </c>
      <c r="O492" s="24" t="str">
        <f aca="false">IF(C492="","",IF(OR(D492="Lucro Real",E492="Indústria",N492&gt;500),"A",IF(OR(D492="Lucro Presumido",I492="S",N492&gt;=100),"B","C")))</f>
        <v/>
      </c>
      <c r="P492" s="21"/>
      <c r="Q492" s="24" t="str">
        <f aca="false">IF(C492="","",IF(P492&lt;&gt;"",P492,O492))</f>
        <v/>
      </c>
      <c r="R492" s="21"/>
      <c r="S492" s="21"/>
      <c r="T492" s="25"/>
      <c r="U492" s="23" t="str">
        <f aca="true">IF(T492="","",T492-TODAY())</f>
        <v/>
      </c>
      <c r="V492" s="21"/>
      <c r="W492" s="25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customFormat="false" ht="15" hidden="false" customHeight="false" outlineLevel="0" collapsed="false">
      <c r="A493" s="21"/>
      <c r="B493" s="21"/>
      <c r="C493" s="21"/>
      <c r="D493" s="21"/>
      <c r="E493" s="21"/>
      <c r="F493" s="21"/>
      <c r="G493" s="21"/>
      <c r="H493" s="21"/>
      <c r="I493" s="21"/>
      <c r="J493" s="22"/>
      <c r="K493" s="22"/>
      <c r="L493" s="22"/>
      <c r="M493" s="22"/>
      <c r="N493" s="23" t="str">
        <f aca="false">IF(C493="","",SUM(J493:M493))</f>
        <v/>
      </c>
      <c r="O493" s="24" t="str">
        <f aca="false">IF(C493="","",IF(OR(D493="Lucro Real",E493="Indústria",N493&gt;500),"A",IF(OR(D493="Lucro Presumido",I493="S",N493&gt;=100),"B","C")))</f>
        <v/>
      </c>
      <c r="P493" s="21"/>
      <c r="Q493" s="24" t="str">
        <f aca="false">IF(C493="","",IF(P493&lt;&gt;"",P493,O493))</f>
        <v/>
      </c>
      <c r="R493" s="21"/>
      <c r="S493" s="21"/>
      <c r="T493" s="25"/>
      <c r="U493" s="23" t="str">
        <f aca="true">IF(T493="","",T493-TODAY())</f>
        <v/>
      </c>
      <c r="V493" s="21"/>
      <c r="W493" s="25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customFormat="false" ht="15" hidden="false" customHeight="false" outlineLevel="0" collapsed="false">
      <c r="A494" s="21"/>
      <c r="B494" s="21"/>
      <c r="C494" s="21"/>
      <c r="D494" s="21"/>
      <c r="E494" s="21"/>
      <c r="F494" s="21"/>
      <c r="G494" s="21"/>
      <c r="H494" s="21"/>
      <c r="I494" s="21"/>
      <c r="J494" s="22"/>
      <c r="K494" s="22"/>
      <c r="L494" s="22"/>
      <c r="M494" s="22"/>
      <c r="N494" s="23" t="str">
        <f aca="false">IF(C494="","",SUM(J494:M494))</f>
        <v/>
      </c>
      <c r="O494" s="24" t="str">
        <f aca="false">IF(C494="","",IF(OR(D494="Lucro Real",E494="Indústria",N494&gt;500),"A",IF(OR(D494="Lucro Presumido",I494="S",N494&gt;=100),"B","C")))</f>
        <v/>
      </c>
      <c r="P494" s="21"/>
      <c r="Q494" s="24" t="str">
        <f aca="false">IF(C494="","",IF(P494&lt;&gt;"",P494,O494))</f>
        <v/>
      </c>
      <c r="R494" s="21"/>
      <c r="S494" s="21"/>
      <c r="T494" s="25"/>
      <c r="U494" s="23" t="str">
        <f aca="true">IF(T494="","",T494-TODAY())</f>
        <v/>
      </c>
      <c r="V494" s="21"/>
      <c r="W494" s="25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customFormat="false" ht="15" hidden="false" customHeight="false" outlineLevel="0" collapsed="false">
      <c r="A495" s="21"/>
      <c r="B495" s="21"/>
      <c r="C495" s="21"/>
      <c r="D495" s="21"/>
      <c r="E495" s="21"/>
      <c r="F495" s="21"/>
      <c r="G495" s="21"/>
      <c r="H495" s="21"/>
      <c r="I495" s="21"/>
      <c r="J495" s="22"/>
      <c r="K495" s="22"/>
      <c r="L495" s="22"/>
      <c r="M495" s="22"/>
      <c r="N495" s="23" t="str">
        <f aca="false">IF(C495="","",SUM(J495:M495))</f>
        <v/>
      </c>
      <c r="O495" s="24" t="str">
        <f aca="false">IF(C495="","",IF(OR(D495="Lucro Real",E495="Indústria",N495&gt;500),"A",IF(OR(D495="Lucro Presumido",I495="S",N495&gt;=100),"B","C")))</f>
        <v/>
      </c>
      <c r="P495" s="21"/>
      <c r="Q495" s="24" t="str">
        <f aca="false">IF(C495="","",IF(P495&lt;&gt;"",P495,O495))</f>
        <v/>
      </c>
      <c r="R495" s="21"/>
      <c r="S495" s="21"/>
      <c r="T495" s="25"/>
      <c r="U495" s="23" t="str">
        <f aca="true">IF(T495="","",T495-TODAY())</f>
        <v/>
      </c>
      <c r="V495" s="21"/>
      <c r="W495" s="25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customFormat="false" ht="15" hidden="false" customHeight="false" outlineLevel="0" collapsed="false">
      <c r="A496" s="21"/>
      <c r="B496" s="21"/>
      <c r="C496" s="21"/>
      <c r="D496" s="21"/>
      <c r="E496" s="21"/>
      <c r="F496" s="21"/>
      <c r="G496" s="21"/>
      <c r="H496" s="21"/>
      <c r="I496" s="21"/>
      <c r="J496" s="22"/>
      <c r="K496" s="22"/>
      <c r="L496" s="22"/>
      <c r="M496" s="22"/>
      <c r="N496" s="23" t="str">
        <f aca="false">IF(C496="","",SUM(J496:M496))</f>
        <v/>
      </c>
      <c r="O496" s="24" t="str">
        <f aca="false">IF(C496="","",IF(OR(D496="Lucro Real",E496="Indústria",N496&gt;500),"A",IF(OR(D496="Lucro Presumido",I496="S",N496&gt;=100),"B","C")))</f>
        <v/>
      </c>
      <c r="P496" s="21"/>
      <c r="Q496" s="24" t="str">
        <f aca="false">IF(C496="","",IF(P496&lt;&gt;"",P496,O496))</f>
        <v/>
      </c>
      <c r="R496" s="21"/>
      <c r="S496" s="21"/>
      <c r="T496" s="25"/>
      <c r="U496" s="23" t="str">
        <f aca="true">IF(T496="","",T496-TODAY())</f>
        <v/>
      </c>
      <c r="V496" s="21"/>
      <c r="W496" s="25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customFormat="false" ht="15" hidden="false" customHeight="false" outlineLevel="0" collapsed="false">
      <c r="A497" s="21"/>
      <c r="B497" s="21"/>
      <c r="C497" s="21"/>
      <c r="D497" s="21"/>
      <c r="E497" s="21"/>
      <c r="F497" s="21"/>
      <c r="G497" s="21"/>
      <c r="H497" s="21"/>
      <c r="I497" s="21"/>
      <c r="J497" s="22"/>
      <c r="K497" s="22"/>
      <c r="L497" s="22"/>
      <c r="M497" s="22"/>
      <c r="N497" s="23" t="str">
        <f aca="false">IF(C497="","",SUM(J497:M497))</f>
        <v/>
      </c>
      <c r="O497" s="24" t="str">
        <f aca="false">IF(C497="","",IF(OR(D497="Lucro Real",E497="Indústria",N497&gt;500),"A",IF(OR(D497="Lucro Presumido",I497="S",N497&gt;=100),"B","C")))</f>
        <v/>
      </c>
      <c r="P497" s="21"/>
      <c r="Q497" s="24" t="str">
        <f aca="false">IF(C497="","",IF(P497&lt;&gt;"",P497,O497))</f>
        <v/>
      </c>
      <c r="R497" s="21"/>
      <c r="S497" s="21"/>
      <c r="T497" s="25"/>
      <c r="U497" s="23" t="str">
        <f aca="true">IF(T497="","",T497-TODAY())</f>
        <v/>
      </c>
      <c r="V497" s="21"/>
      <c r="W497" s="25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customFormat="false" ht="15" hidden="false" customHeight="false" outlineLevel="0" collapsed="false">
      <c r="A498" s="21"/>
      <c r="B498" s="21"/>
      <c r="C498" s="21"/>
      <c r="D498" s="21"/>
      <c r="E498" s="21"/>
      <c r="F498" s="21"/>
      <c r="G498" s="21"/>
      <c r="H498" s="21"/>
      <c r="I498" s="21"/>
      <c r="J498" s="22"/>
      <c r="K498" s="22"/>
      <c r="L498" s="22"/>
      <c r="M498" s="22"/>
      <c r="N498" s="23" t="str">
        <f aca="false">IF(C498="","",SUM(J498:M498))</f>
        <v/>
      </c>
      <c r="O498" s="24" t="str">
        <f aca="false">IF(C498="","",IF(OR(D498="Lucro Real",E498="Indústria",N498&gt;500),"A",IF(OR(D498="Lucro Presumido",I498="S",N498&gt;=100),"B","C")))</f>
        <v/>
      </c>
      <c r="P498" s="21"/>
      <c r="Q498" s="24" t="str">
        <f aca="false">IF(C498="","",IF(P498&lt;&gt;"",P498,O498))</f>
        <v/>
      </c>
      <c r="R498" s="21"/>
      <c r="S498" s="21"/>
      <c r="T498" s="25"/>
      <c r="U498" s="23" t="str">
        <f aca="true">IF(T498="","",T498-TODAY())</f>
        <v/>
      </c>
      <c r="V498" s="21"/>
      <c r="W498" s="25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customFormat="false" ht="15" hidden="false" customHeight="false" outlineLevel="0" collapsed="false">
      <c r="A499" s="21"/>
      <c r="B499" s="21"/>
      <c r="C499" s="21"/>
      <c r="D499" s="21"/>
      <c r="E499" s="21"/>
      <c r="F499" s="21"/>
      <c r="G499" s="21"/>
      <c r="H499" s="21"/>
      <c r="I499" s="21"/>
      <c r="J499" s="22"/>
      <c r="K499" s="22"/>
      <c r="L499" s="22"/>
      <c r="M499" s="22"/>
      <c r="N499" s="23" t="str">
        <f aca="false">IF(C499="","",SUM(J499:M499))</f>
        <v/>
      </c>
      <c r="O499" s="24" t="str">
        <f aca="false">IF(C499="","",IF(OR(D499="Lucro Real",E499="Indústria",N499&gt;500),"A",IF(OR(D499="Lucro Presumido",I499="S",N499&gt;=100),"B","C")))</f>
        <v/>
      </c>
      <c r="P499" s="21"/>
      <c r="Q499" s="24" t="str">
        <f aca="false">IF(C499="","",IF(P499&lt;&gt;"",P499,O499))</f>
        <v/>
      </c>
      <c r="R499" s="21"/>
      <c r="S499" s="21"/>
      <c r="T499" s="25"/>
      <c r="U499" s="23" t="str">
        <f aca="true">IF(T499="","",T499-TODAY())</f>
        <v/>
      </c>
      <c r="V499" s="21"/>
      <c r="W499" s="25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customFormat="false" ht="15" hidden="false" customHeight="false" outlineLevel="0" collapsed="false">
      <c r="A500" s="21"/>
      <c r="B500" s="21"/>
      <c r="C500" s="21"/>
      <c r="D500" s="21"/>
      <c r="E500" s="21"/>
      <c r="F500" s="21"/>
      <c r="G500" s="21"/>
      <c r="H500" s="21"/>
      <c r="I500" s="21"/>
      <c r="J500" s="22"/>
      <c r="K500" s="22"/>
      <c r="L500" s="22"/>
      <c r="M500" s="22"/>
      <c r="N500" s="23" t="str">
        <f aca="false">IF(C500="","",SUM(J500:M500))</f>
        <v/>
      </c>
      <c r="O500" s="24" t="str">
        <f aca="false">IF(C500="","",IF(OR(D500="Lucro Real",E500="Indústria",N500&gt;500),"A",IF(OR(D500="Lucro Presumido",I500="S",N500&gt;=100),"B","C")))</f>
        <v/>
      </c>
      <c r="P500" s="21"/>
      <c r="Q500" s="24" t="str">
        <f aca="false">IF(C500="","",IF(P500&lt;&gt;"",P500,O500))</f>
        <v/>
      </c>
      <c r="R500" s="21"/>
      <c r="S500" s="21"/>
      <c r="T500" s="25"/>
      <c r="U500" s="23" t="str">
        <f aca="true">IF(T500="","",T500-TODAY())</f>
        <v/>
      </c>
      <c r="V500" s="21"/>
      <c r="W500" s="25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customFormat="false" ht="15" hidden="false" customHeight="false" outlineLevel="0" collapsed="false">
      <c r="A501" s="21"/>
      <c r="B501" s="21"/>
      <c r="C501" s="21"/>
      <c r="D501" s="21"/>
      <c r="E501" s="21"/>
      <c r="F501" s="21"/>
      <c r="G501" s="21"/>
      <c r="H501" s="21"/>
      <c r="I501" s="21"/>
      <c r="J501" s="22"/>
      <c r="K501" s="22"/>
      <c r="L501" s="22"/>
      <c r="M501" s="22"/>
      <c r="N501" s="23" t="str">
        <f aca="false">IF(C501="","",SUM(J501:M501))</f>
        <v/>
      </c>
      <c r="O501" s="24" t="str">
        <f aca="false">IF(C501="","",IF(OR(D501="Lucro Real",E501="Indústria",N501&gt;500),"A",IF(OR(D501="Lucro Presumido",I501="S",N501&gt;=100),"B","C")))</f>
        <v/>
      </c>
      <c r="P501" s="21"/>
      <c r="Q501" s="24" t="str">
        <f aca="false">IF(C501="","",IF(P501&lt;&gt;"",P501,O501))</f>
        <v/>
      </c>
      <c r="R501" s="21"/>
      <c r="S501" s="21"/>
      <c r="T501" s="25"/>
      <c r="U501" s="23" t="str">
        <f aca="true">IF(T501="","",T501-TODAY())</f>
        <v/>
      </c>
      <c r="V501" s="21"/>
      <c r="W501" s="25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customFormat="false" ht="15" hidden="false" customHeight="false" outlineLevel="0" collapsed="false">
      <c r="A502" s="21"/>
      <c r="B502" s="21"/>
      <c r="C502" s="21"/>
      <c r="D502" s="21"/>
      <c r="E502" s="21"/>
      <c r="F502" s="21"/>
      <c r="G502" s="21"/>
      <c r="H502" s="21"/>
      <c r="I502" s="21"/>
      <c r="J502" s="22"/>
      <c r="K502" s="22"/>
      <c r="L502" s="22"/>
      <c r="M502" s="22"/>
      <c r="N502" s="23" t="str">
        <f aca="false">IF(C502="","",SUM(J502:M502))</f>
        <v/>
      </c>
      <c r="O502" s="24" t="str">
        <f aca="false">IF(C502="","",IF(OR(D502="Lucro Real",E502="Indústria",N502&gt;500),"A",IF(OR(D502="Lucro Presumido",I502="S",N502&gt;=100),"B","C")))</f>
        <v/>
      </c>
      <c r="P502" s="21"/>
      <c r="Q502" s="24" t="str">
        <f aca="false">IF(C502="","",IF(P502&lt;&gt;"",P502,O502))</f>
        <v/>
      </c>
      <c r="R502" s="21"/>
      <c r="S502" s="21"/>
      <c r="T502" s="25"/>
      <c r="U502" s="23" t="str">
        <f aca="true">IF(T502="","",T502-TODAY())</f>
        <v/>
      </c>
      <c r="V502" s="21"/>
      <c r="W502" s="25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customFormat="false" ht="15" hidden="false" customHeight="false" outlineLevel="0" collapsed="false">
      <c r="A503" s="21"/>
      <c r="B503" s="21"/>
      <c r="C503" s="21"/>
      <c r="D503" s="21"/>
      <c r="E503" s="21"/>
      <c r="F503" s="21"/>
      <c r="G503" s="21"/>
      <c r="H503" s="21"/>
      <c r="I503" s="21"/>
      <c r="J503" s="22"/>
      <c r="K503" s="22"/>
      <c r="L503" s="22"/>
      <c r="M503" s="22"/>
      <c r="N503" s="23" t="str">
        <f aca="false">IF(C503="","",SUM(J503:M503))</f>
        <v/>
      </c>
      <c r="O503" s="24" t="str">
        <f aca="false">IF(C503="","",IF(OR(D503="Lucro Real",E503="Indústria",N503&gt;500),"A",IF(OR(D503="Lucro Presumido",I503="S",N503&gt;=100),"B","C")))</f>
        <v/>
      </c>
      <c r="P503" s="21"/>
      <c r="Q503" s="24" t="str">
        <f aca="false">IF(C503="","",IF(P503&lt;&gt;"",P503,O503))</f>
        <v/>
      </c>
      <c r="R503" s="21"/>
      <c r="S503" s="21"/>
      <c r="T503" s="25"/>
      <c r="U503" s="23" t="str">
        <f aca="true">IF(T503="","",T503-TODAY())</f>
        <v/>
      </c>
      <c r="V503" s="21"/>
      <c r="W503" s="25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customFormat="false" ht="15" hidden="false" customHeight="false" outlineLevel="0" collapsed="false">
      <c r="A504" s="21"/>
      <c r="B504" s="21"/>
      <c r="C504" s="21"/>
      <c r="D504" s="21"/>
      <c r="E504" s="21"/>
      <c r="F504" s="21"/>
      <c r="G504" s="21"/>
      <c r="H504" s="21"/>
      <c r="I504" s="21"/>
      <c r="J504" s="22"/>
      <c r="K504" s="22"/>
      <c r="L504" s="22"/>
      <c r="M504" s="22"/>
      <c r="N504" s="23" t="str">
        <f aca="false">IF(C504="","",SUM(J504:M504))</f>
        <v/>
      </c>
      <c r="O504" s="24" t="str">
        <f aca="false">IF(C504="","",IF(OR(D504="Lucro Real",E504="Indústria",N504&gt;500),"A",IF(OR(D504="Lucro Presumido",I504="S",N504&gt;=100),"B","C")))</f>
        <v/>
      </c>
      <c r="P504" s="21"/>
      <c r="Q504" s="24" t="str">
        <f aca="false">IF(C504="","",IF(P504&lt;&gt;"",P504,O504))</f>
        <v/>
      </c>
      <c r="R504" s="21"/>
      <c r="S504" s="21"/>
      <c r="T504" s="25"/>
      <c r="U504" s="23" t="str">
        <f aca="true">IF(T504="","",T504-TODAY())</f>
        <v/>
      </c>
      <c r="V504" s="21"/>
      <c r="W504" s="25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</sheetData>
  <autoFilter ref="A4:AG504"/>
  <conditionalFormatting sqref="U5:U504">
    <cfRule type="expression" priority="2" aboveAverage="0" equalAverage="0" bottom="0" percent="0" rank="0" text="" dxfId="5">
      <formula>AND(ISNUMBER(U5),U5&lt;15)</formula>
    </cfRule>
    <cfRule type="expression" priority="3" aboveAverage="0" equalAverage="0" bottom="0" percent="0" rank="0" text="" dxfId="6">
      <formula>AND(ISNUMBER(U5),U5&gt;=15,U5&lt;30)</formula>
    </cfRule>
  </conditionalFormatting>
  <dataValidations count="16">
    <dataValidation allowBlank="true" error="Escolha um valor da lista." errorStyle="stop" errorTitle="Valor inválido" operator="between" showDropDown="false" showErrorMessage="true" showInputMessage="false" sqref="D5:D504" type="list">
      <formula1>"Simples Nacional,SIMEI (MEI),Lucro Presumido,Lucro Real,Imune/Isenta"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E5:E504" type="list">
      <formula1>"Comércio,Indústria,Serviços,Misto"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F5:F504" type="list">
      <formula1>"AC,AL,AM,AP,BA,CE,DF,ES,GO,MA,MG,MS,MT,PA,PB,PE,PI,PR,RJ,RN,RO,RR,RS,SC,SE,SP,TO"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H5:H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I5:I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V5:V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X5:X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Y5:Y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Z5:Z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AA5:AA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AB5:AB504" type="list">
      <formula1>"S,N"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AD5:AD504" type="list">
      <formula1>"S,N"</formula1>
      <formula2>0</formula2>
    </dataValidation>
    <dataValidation allowBlank="true" error="Escolha um valor da lista." errorStyle="stop" errorTitle="Valor inválido" operator="between" prompt="Deixe vazio para usar a classe sugerida." promptTitle="Preenchimento" showDropDown="false" showErrorMessage="true" showInputMessage="true" sqref="P5:P504" type="list">
      <formula1>"A,B,C"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R5:R504" type="list">
      <formula1>Equipe!$A$5:$A$24</formula1>
      <formula2>0</formula2>
    </dataValidation>
    <dataValidation allowBlank="true" error="Escolha um valor da lista." errorStyle="stop" errorTitle="Valor inválido" operator="between" showDropDown="false" showErrorMessage="true" showInputMessage="false" sqref="S5:S504" type="list">
      <formula1>"A1,A3,Não possui"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AF5:AF504" type="list">
      <formula1>"S,N,Parcial"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I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48"/>
  </cols>
  <sheetData>
    <row r="1" customFormat="false" ht="18.5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0" hidden="false" customHeight="true" outlineLevel="0" collapsed="false">
      <c r="A4" s="10" t="s">
        <v>122</v>
      </c>
      <c r="B4" s="10" t="s">
        <v>69</v>
      </c>
      <c r="C4" s="10" t="s">
        <v>123</v>
      </c>
      <c r="D4" s="10" t="s">
        <v>124</v>
      </c>
      <c r="E4" s="10" t="s">
        <v>125</v>
      </c>
      <c r="F4" s="10" t="s">
        <v>126</v>
      </c>
      <c r="G4" s="10" t="s">
        <v>127</v>
      </c>
      <c r="H4" s="10" t="s">
        <v>128</v>
      </c>
      <c r="I4" s="10" t="s">
        <v>129</v>
      </c>
    </row>
    <row r="5" customFormat="false" ht="15" hidden="false" customHeight="false" outlineLevel="0" collapsed="false">
      <c r="A5" s="20" t="n">
        <v>46296</v>
      </c>
      <c r="B5" s="11" t="s">
        <v>68</v>
      </c>
      <c r="C5" s="11" t="n">
        <v>101</v>
      </c>
      <c r="D5" s="11" t="str">
        <f aca="false">IF(C5="","",IFERROR(INDEX('Cadastro Mestre'!$C$5:$C$504,MATCH(C5,'Cadastro Mestre'!$A$5:$A$504,0)),"código não encontrado"))</f>
        <v>Comércio Exemplo Ltda (EXEMPLO)</v>
      </c>
      <c r="E5" s="19" t="str">
        <f aca="false">IF(C5="","",IFERROR(INDEX('Cadastro Mestre'!$Q$5:$Q$504,MATCH(C5,'Cadastro Mestre'!$A$5:$A$504,0)),""))</f>
        <v>B</v>
      </c>
      <c r="F5" s="11" t="s">
        <v>36</v>
      </c>
      <c r="G5" s="11" t="n">
        <v>45</v>
      </c>
      <c r="H5" s="11" t="s">
        <v>72</v>
      </c>
      <c r="I5" s="11" t="s">
        <v>130</v>
      </c>
    </row>
    <row r="6" customFormat="false" ht="15" hidden="false" customHeight="false" outlineLevel="0" collapsed="false">
      <c r="A6" s="25"/>
      <c r="B6" s="21"/>
      <c r="C6" s="21"/>
      <c r="D6" s="26" t="str">
        <f aca="false">IF(C6="","",IFERROR(INDEX('Cadastro Mestre'!$C$5:$C$504,MATCH(C6,'Cadastro Mestre'!$A$5:$A$504,0)),"código não encontrado"))</f>
        <v/>
      </c>
      <c r="E6" s="24" t="str">
        <f aca="false">IF(C6="","",IFERROR(INDEX('Cadastro Mestre'!$Q$5:$Q$504,MATCH(C6,'Cadastro Mestre'!$A$5:$A$504,0)),""))</f>
        <v/>
      </c>
      <c r="F6" s="21"/>
      <c r="G6" s="21"/>
      <c r="H6" s="21"/>
      <c r="I6" s="21"/>
    </row>
    <row r="7" customFormat="false" ht="15" hidden="false" customHeight="false" outlineLevel="0" collapsed="false">
      <c r="A7" s="25"/>
      <c r="B7" s="21"/>
      <c r="C7" s="21"/>
      <c r="D7" s="26" t="str">
        <f aca="false">IF(C7="","",IFERROR(INDEX('Cadastro Mestre'!$C$5:$C$504,MATCH(C7,'Cadastro Mestre'!$A$5:$A$504,0)),"código não encontrado"))</f>
        <v/>
      </c>
      <c r="E7" s="24" t="str">
        <f aca="false">IF(C7="","",IFERROR(INDEX('Cadastro Mestre'!$Q$5:$Q$504,MATCH(C7,'Cadastro Mestre'!$A$5:$A$504,0)),""))</f>
        <v/>
      </c>
      <c r="F7" s="21"/>
      <c r="G7" s="21"/>
      <c r="H7" s="21"/>
      <c r="I7" s="21"/>
    </row>
    <row r="8" customFormat="false" ht="15" hidden="false" customHeight="false" outlineLevel="0" collapsed="false">
      <c r="A8" s="25"/>
      <c r="B8" s="21"/>
      <c r="C8" s="21"/>
      <c r="D8" s="26" t="str">
        <f aca="false">IF(C8="","",IFERROR(INDEX('Cadastro Mestre'!$C$5:$C$504,MATCH(C8,'Cadastro Mestre'!$A$5:$A$504,0)),"código não encontrado"))</f>
        <v/>
      </c>
      <c r="E8" s="24" t="str">
        <f aca="false">IF(C8="","",IFERROR(INDEX('Cadastro Mestre'!$Q$5:$Q$504,MATCH(C8,'Cadastro Mestre'!$A$5:$A$504,0)),""))</f>
        <v/>
      </c>
      <c r="F8" s="21"/>
      <c r="G8" s="21"/>
      <c r="H8" s="21"/>
      <c r="I8" s="21"/>
    </row>
    <row r="9" customFormat="false" ht="15" hidden="false" customHeight="false" outlineLevel="0" collapsed="false">
      <c r="A9" s="25"/>
      <c r="B9" s="21"/>
      <c r="C9" s="21"/>
      <c r="D9" s="26" t="str">
        <f aca="false">IF(C9="","",IFERROR(INDEX('Cadastro Mestre'!$C$5:$C$504,MATCH(C9,'Cadastro Mestre'!$A$5:$A$504,0)),"código não encontrado"))</f>
        <v/>
      </c>
      <c r="E9" s="24" t="str">
        <f aca="false">IF(C9="","",IFERROR(INDEX('Cadastro Mestre'!$Q$5:$Q$504,MATCH(C9,'Cadastro Mestre'!$A$5:$A$504,0)),""))</f>
        <v/>
      </c>
      <c r="F9" s="21"/>
      <c r="G9" s="21"/>
      <c r="H9" s="21"/>
      <c r="I9" s="21"/>
    </row>
    <row r="10" customFormat="false" ht="15" hidden="false" customHeight="false" outlineLevel="0" collapsed="false">
      <c r="A10" s="25"/>
      <c r="B10" s="21"/>
      <c r="C10" s="21"/>
      <c r="D10" s="26" t="str">
        <f aca="false">IF(C10="","",IFERROR(INDEX('Cadastro Mestre'!$C$5:$C$504,MATCH(C10,'Cadastro Mestre'!$A$5:$A$504,0)),"código não encontrado"))</f>
        <v/>
      </c>
      <c r="E10" s="24" t="str">
        <f aca="false">IF(C10="","",IFERROR(INDEX('Cadastro Mestre'!$Q$5:$Q$504,MATCH(C10,'Cadastro Mestre'!$A$5:$A$504,0)),""))</f>
        <v/>
      </c>
      <c r="F10" s="21"/>
      <c r="G10" s="21"/>
      <c r="H10" s="21"/>
      <c r="I10" s="21"/>
    </row>
    <row r="11" customFormat="false" ht="15" hidden="false" customHeight="false" outlineLevel="0" collapsed="false">
      <c r="A11" s="25"/>
      <c r="B11" s="21"/>
      <c r="C11" s="21"/>
      <c r="D11" s="26" t="str">
        <f aca="false">IF(C11="","",IFERROR(INDEX('Cadastro Mestre'!$C$5:$C$504,MATCH(C11,'Cadastro Mestre'!$A$5:$A$504,0)),"código não encontrado"))</f>
        <v/>
      </c>
      <c r="E11" s="24" t="str">
        <f aca="false">IF(C11="","",IFERROR(INDEX('Cadastro Mestre'!$Q$5:$Q$504,MATCH(C11,'Cadastro Mestre'!$A$5:$A$504,0)),""))</f>
        <v/>
      </c>
      <c r="F11" s="21"/>
      <c r="G11" s="21"/>
      <c r="H11" s="21"/>
      <c r="I11" s="21"/>
    </row>
    <row r="12" customFormat="false" ht="15" hidden="false" customHeight="false" outlineLevel="0" collapsed="false">
      <c r="A12" s="25"/>
      <c r="B12" s="21"/>
      <c r="C12" s="21"/>
      <c r="D12" s="26" t="str">
        <f aca="false">IF(C12="","",IFERROR(INDEX('Cadastro Mestre'!$C$5:$C$504,MATCH(C12,'Cadastro Mestre'!$A$5:$A$504,0)),"código não encontrado"))</f>
        <v/>
      </c>
      <c r="E12" s="24" t="str">
        <f aca="false">IF(C12="","",IFERROR(INDEX('Cadastro Mestre'!$Q$5:$Q$504,MATCH(C12,'Cadastro Mestre'!$A$5:$A$504,0)),""))</f>
        <v/>
      </c>
      <c r="F12" s="21"/>
      <c r="G12" s="21"/>
      <c r="H12" s="21"/>
      <c r="I12" s="21"/>
    </row>
    <row r="13" customFormat="false" ht="15" hidden="false" customHeight="false" outlineLevel="0" collapsed="false">
      <c r="A13" s="25"/>
      <c r="B13" s="21"/>
      <c r="C13" s="21"/>
      <c r="D13" s="26" t="str">
        <f aca="false">IF(C13="","",IFERROR(INDEX('Cadastro Mestre'!$C$5:$C$504,MATCH(C13,'Cadastro Mestre'!$A$5:$A$504,0)),"código não encontrado"))</f>
        <v/>
      </c>
      <c r="E13" s="24" t="str">
        <f aca="false">IF(C13="","",IFERROR(INDEX('Cadastro Mestre'!$Q$5:$Q$504,MATCH(C13,'Cadastro Mestre'!$A$5:$A$504,0)),""))</f>
        <v/>
      </c>
      <c r="F13" s="21"/>
      <c r="G13" s="21"/>
      <c r="H13" s="21"/>
      <c r="I13" s="21"/>
    </row>
    <row r="14" customFormat="false" ht="15" hidden="false" customHeight="false" outlineLevel="0" collapsed="false">
      <c r="A14" s="25"/>
      <c r="B14" s="21"/>
      <c r="C14" s="21"/>
      <c r="D14" s="26" t="str">
        <f aca="false">IF(C14="","",IFERROR(INDEX('Cadastro Mestre'!$C$5:$C$504,MATCH(C14,'Cadastro Mestre'!$A$5:$A$504,0)),"código não encontrado"))</f>
        <v/>
      </c>
      <c r="E14" s="24" t="str">
        <f aca="false">IF(C14="","",IFERROR(INDEX('Cadastro Mestre'!$Q$5:$Q$504,MATCH(C14,'Cadastro Mestre'!$A$5:$A$504,0)),""))</f>
        <v/>
      </c>
      <c r="F14" s="21"/>
      <c r="G14" s="21"/>
      <c r="H14" s="21"/>
      <c r="I14" s="21"/>
    </row>
    <row r="15" customFormat="false" ht="15" hidden="false" customHeight="false" outlineLevel="0" collapsed="false">
      <c r="A15" s="25"/>
      <c r="B15" s="21"/>
      <c r="C15" s="21"/>
      <c r="D15" s="26" t="str">
        <f aca="false">IF(C15="","",IFERROR(INDEX('Cadastro Mestre'!$C$5:$C$504,MATCH(C15,'Cadastro Mestre'!$A$5:$A$504,0)),"código não encontrado"))</f>
        <v/>
      </c>
      <c r="E15" s="24" t="str">
        <f aca="false">IF(C15="","",IFERROR(INDEX('Cadastro Mestre'!$Q$5:$Q$504,MATCH(C15,'Cadastro Mestre'!$A$5:$A$504,0)),""))</f>
        <v/>
      </c>
      <c r="F15" s="21"/>
      <c r="G15" s="21"/>
      <c r="H15" s="21"/>
      <c r="I15" s="21"/>
    </row>
    <row r="16" customFormat="false" ht="15" hidden="false" customHeight="false" outlineLevel="0" collapsed="false">
      <c r="A16" s="25"/>
      <c r="B16" s="21"/>
      <c r="C16" s="21"/>
      <c r="D16" s="26" t="str">
        <f aca="false">IF(C16="","",IFERROR(INDEX('Cadastro Mestre'!$C$5:$C$504,MATCH(C16,'Cadastro Mestre'!$A$5:$A$504,0)),"código não encontrado"))</f>
        <v/>
      </c>
      <c r="E16" s="24" t="str">
        <f aca="false">IF(C16="","",IFERROR(INDEX('Cadastro Mestre'!$Q$5:$Q$504,MATCH(C16,'Cadastro Mestre'!$A$5:$A$504,0)),""))</f>
        <v/>
      </c>
      <c r="F16" s="21"/>
      <c r="G16" s="21"/>
      <c r="H16" s="21"/>
      <c r="I16" s="21"/>
    </row>
    <row r="17" customFormat="false" ht="15" hidden="false" customHeight="false" outlineLevel="0" collapsed="false">
      <c r="A17" s="25"/>
      <c r="B17" s="21"/>
      <c r="C17" s="21"/>
      <c r="D17" s="26" t="str">
        <f aca="false">IF(C17="","",IFERROR(INDEX('Cadastro Mestre'!$C$5:$C$504,MATCH(C17,'Cadastro Mestre'!$A$5:$A$504,0)),"código não encontrado"))</f>
        <v/>
      </c>
      <c r="E17" s="24" t="str">
        <f aca="false">IF(C17="","",IFERROR(INDEX('Cadastro Mestre'!$Q$5:$Q$504,MATCH(C17,'Cadastro Mestre'!$A$5:$A$504,0)),""))</f>
        <v/>
      </c>
      <c r="F17" s="21"/>
      <c r="G17" s="21"/>
      <c r="H17" s="21"/>
      <c r="I17" s="21"/>
    </row>
    <row r="18" customFormat="false" ht="15" hidden="false" customHeight="false" outlineLevel="0" collapsed="false">
      <c r="A18" s="25"/>
      <c r="B18" s="21"/>
      <c r="C18" s="21"/>
      <c r="D18" s="26" t="str">
        <f aca="false">IF(C18="","",IFERROR(INDEX('Cadastro Mestre'!$C$5:$C$504,MATCH(C18,'Cadastro Mestre'!$A$5:$A$504,0)),"código não encontrado"))</f>
        <v/>
      </c>
      <c r="E18" s="24" t="str">
        <f aca="false">IF(C18="","",IFERROR(INDEX('Cadastro Mestre'!$Q$5:$Q$504,MATCH(C18,'Cadastro Mestre'!$A$5:$A$504,0)),""))</f>
        <v/>
      </c>
      <c r="F18" s="21"/>
      <c r="G18" s="21"/>
      <c r="H18" s="21"/>
      <c r="I18" s="21"/>
    </row>
    <row r="19" customFormat="false" ht="15" hidden="false" customHeight="false" outlineLevel="0" collapsed="false">
      <c r="A19" s="25"/>
      <c r="B19" s="21"/>
      <c r="C19" s="21"/>
      <c r="D19" s="26" t="str">
        <f aca="false">IF(C19="","",IFERROR(INDEX('Cadastro Mestre'!$C$5:$C$504,MATCH(C19,'Cadastro Mestre'!$A$5:$A$504,0)),"código não encontrado"))</f>
        <v/>
      </c>
      <c r="E19" s="24" t="str">
        <f aca="false">IF(C19="","",IFERROR(INDEX('Cadastro Mestre'!$Q$5:$Q$504,MATCH(C19,'Cadastro Mestre'!$A$5:$A$504,0)),""))</f>
        <v/>
      </c>
      <c r="F19" s="21"/>
      <c r="G19" s="21"/>
      <c r="H19" s="21"/>
      <c r="I19" s="21"/>
    </row>
    <row r="20" customFormat="false" ht="15" hidden="false" customHeight="false" outlineLevel="0" collapsed="false">
      <c r="A20" s="25"/>
      <c r="B20" s="21"/>
      <c r="C20" s="21"/>
      <c r="D20" s="26" t="str">
        <f aca="false">IF(C20="","",IFERROR(INDEX('Cadastro Mestre'!$C$5:$C$504,MATCH(C20,'Cadastro Mestre'!$A$5:$A$504,0)),"código não encontrado"))</f>
        <v/>
      </c>
      <c r="E20" s="24" t="str">
        <f aca="false">IF(C20="","",IFERROR(INDEX('Cadastro Mestre'!$Q$5:$Q$504,MATCH(C20,'Cadastro Mestre'!$A$5:$A$504,0)),""))</f>
        <v/>
      </c>
      <c r="F20" s="21"/>
      <c r="G20" s="21"/>
      <c r="H20" s="21"/>
      <c r="I20" s="21"/>
    </row>
    <row r="21" customFormat="false" ht="15" hidden="false" customHeight="false" outlineLevel="0" collapsed="false">
      <c r="A21" s="25"/>
      <c r="B21" s="21"/>
      <c r="C21" s="21"/>
      <c r="D21" s="26" t="str">
        <f aca="false">IF(C21="","",IFERROR(INDEX('Cadastro Mestre'!$C$5:$C$504,MATCH(C21,'Cadastro Mestre'!$A$5:$A$504,0)),"código não encontrado"))</f>
        <v/>
      </c>
      <c r="E21" s="24" t="str">
        <f aca="false">IF(C21="","",IFERROR(INDEX('Cadastro Mestre'!$Q$5:$Q$504,MATCH(C21,'Cadastro Mestre'!$A$5:$A$504,0)),""))</f>
        <v/>
      </c>
      <c r="F21" s="21"/>
      <c r="G21" s="21"/>
      <c r="H21" s="21"/>
      <c r="I21" s="21"/>
    </row>
    <row r="22" customFormat="false" ht="15" hidden="false" customHeight="false" outlineLevel="0" collapsed="false">
      <c r="A22" s="25"/>
      <c r="B22" s="21"/>
      <c r="C22" s="21"/>
      <c r="D22" s="26" t="str">
        <f aca="false">IF(C22="","",IFERROR(INDEX('Cadastro Mestre'!$C$5:$C$504,MATCH(C22,'Cadastro Mestre'!$A$5:$A$504,0)),"código não encontrado"))</f>
        <v/>
      </c>
      <c r="E22" s="24" t="str">
        <f aca="false">IF(C22="","",IFERROR(INDEX('Cadastro Mestre'!$Q$5:$Q$504,MATCH(C22,'Cadastro Mestre'!$A$5:$A$504,0)),""))</f>
        <v/>
      </c>
      <c r="F22" s="21"/>
      <c r="G22" s="21"/>
      <c r="H22" s="21"/>
      <c r="I22" s="21"/>
    </row>
    <row r="23" customFormat="false" ht="15" hidden="false" customHeight="false" outlineLevel="0" collapsed="false">
      <c r="A23" s="25"/>
      <c r="B23" s="21"/>
      <c r="C23" s="21"/>
      <c r="D23" s="26" t="str">
        <f aca="false">IF(C23="","",IFERROR(INDEX('Cadastro Mestre'!$C$5:$C$504,MATCH(C23,'Cadastro Mestre'!$A$5:$A$504,0)),"código não encontrado"))</f>
        <v/>
      </c>
      <c r="E23" s="24" t="str">
        <f aca="false">IF(C23="","",IFERROR(INDEX('Cadastro Mestre'!$Q$5:$Q$504,MATCH(C23,'Cadastro Mestre'!$A$5:$A$504,0)),""))</f>
        <v/>
      </c>
      <c r="F23" s="21"/>
      <c r="G23" s="21"/>
      <c r="H23" s="21"/>
      <c r="I23" s="21"/>
    </row>
    <row r="24" customFormat="false" ht="15" hidden="false" customHeight="false" outlineLevel="0" collapsed="false">
      <c r="A24" s="25"/>
      <c r="B24" s="21"/>
      <c r="C24" s="21"/>
      <c r="D24" s="26" t="str">
        <f aca="false">IF(C24="","",IFERROR(INDEX('Cadastro Mestre'!$C$5:$C$504,MATCH(C24,'Cadastro Mestre'!$A$5:$A$504,0)),"código não encontrado"))</f>
        <v/>
      </c>
      <c r="E24" s="24" t="str">
        <f aca="false">IF(C24="","",IFERROR(INDEX('Cadastro Mestre'!$Q$5:$Q$504,MATCH(C24,'Cadastro Mestre'!$A$5:$A$504,0)),""))</f>
        <v/>
      </c>
      <c r="F24" s="21"/>
      <c r="G24" s="21"/>
      <c r="H24" s="21"/>
      <c r="I24" s="21"/>
    </row>
    <row r="25" customFormat="false" ht="15" hidden="false" customHeight="false" outlineLevel="0" collapsed="false">
      <c r="A25" s="25"/>
      <c r="B25" s="21"/>
      <c r="C25" s="21"/>
      <c r="D25" s="26" t="str">
        <f aca="false">IF(C25="","",IFERROR(INDEX('Cadastro Mestre'!$C$5:$C$504,MATCH(C25,'Cadastro Mestre'!$A$5:$A$504,0)),"código não encontrado"))</f>
        <v/>
      </c>
      <c r="E25" s="24" t="str">
        <f aca="false">IF(C25="","",IFERROR(INDEX('Cadastro Mestre'!$Q$5:$Q$504,MATCH(C25,'Cadastro Mestre'!$A$5:$A$504,0)),""))</f>
        <v/>
      </c>
      <c r="F25" s="21"/>
      <c r="G25" s="21"/>
      <c r="H25" s="21"/>
      <c r="I25" s="21"/>
    </row>
    <row r="26" customFormat="false" ht="15" hidden="false" customHeight="false" outlineLevel="0" collapsed="false">
      <c r="A26" s="25"/>
      <c r="B26" s="21"/>
      <c r="C26" s="21"/>
      <c r="D26" s="26" t="str">
        <f aca="false">IF(C26="","",IFERROR(INDEX('Cadastro Mestre'!$C$5:$C$504,MATCH(C26,'Cadastro Mestre'!$A$5:$A$504,0)),"código não encontrado"))</f>
        <v/>
      </c>
      <c r="E26" s="24" t="str">
        <f aca="false">IF(C26="","",IFERROR(INDEX('Cadastro Mestre'!$Q$5:$Q$504,MATCH(C26,'Cadastro Mestre'!$A$5:$A$504,0)),""))</f>
        <v/>
      </c>
      <c r="F26" s="21"/>
      <c r="G26" s="21"/>
      <c r="H26" s="21"/>
      <c r="I26" s="21"/>
    </row>
    <row r="27" customFormat="false" ht="15" hidden="false" customHeight="false" outlineLevel="0" collapsed="false">
      <c r="A27" s="25"/>
      <c r="B27" s="21"/>
      <c r="C27" s="21"/>
      <c r="D27" s="26" t="str">
        <f aca="false">IF(C27="","",IFERROR(INDEX('Cadastro Mestre'!$C$5:$C$504,MATCH(C27,'Cadastro Mestre'!$A$5:$A$504,0)),"código não encontrado"))</f>
        <v/>
      </c>
      <c r="E27" s="24" t="str">
        <f aca="false">IF(C27="","",IFERROR(INDEX('Cadastro Mestre'!$Q$5:$Q$504,MATCH(C27,'Cadastro Mestre'!$A$5:$A$504,0)),""))</f>
        <v/>
      </c>
      <c r="F27" s="21"/>
      <c r="G27" s="21"/>
      <c r="H27" s="21"/>
      <c r="I27" s="21"/>
    </row>
    <row r="28" customFormat="false" ht="15" hidden="false" customHeight="false" outlineLevel="0" collapsed="false">
      <c r="A28" s="25"/>
      <c r="B28" s="21"/>
      <c r="C28" s="21"/>
      <c r="D28" s="26" t="str">
        <f aca="false">IF(C28="","",IFERROR(INDEX('Cadastro Mestre'!$C$5:$C$504,MATCH(C28,'Cadastro Mestre'!$A$5:$A$504,0)),"código não encontrado"))</f>
        <v/>
      </c>
      <c r="E28" s="24" t="str">
        <f aca="false">IF(C28="","",IFERROR(INDEX('Cadastro Mestre'!$Q$5:$Q$504,MATCH(C28,'Cadastro Mestre'!$A$5:$A$504,0)),""))</f>
        <v/>
      </c>
      <c r="F28" s="21"/>
      <c r="G28" s="21"/>
      <c r="H28" s="21"/>
      <c r="I28" s="21"/>
    </row>
    <row r="29" customFormat="false" ht="15" hidden="false" customHeight="false" outlineLevel="0" collapsed="false">
      <c r="A29" s="25"/>
      <c r="B29" s="21"/>
      <c r="C29" s="21"/>
      <c r="D29" s="26" t="str">
        <f aca="false">IF(C29="","",IFERROR(INDEX('Cadastro Mestre'!$C$5:$C$504,MATCH(C29,'Cadastro Mestre'!$A$5:$A$504,0)),"código não encontrado"))</f>
        <v/>
      </c>
      <c r="E29" s="24" t="str">
        <f aca="false">IF(C29="","",IFERROR(INDEX('Cadastro Mestre'!$Q$5:$Q$504,MATCH(C29,'Cadastro Mestre'!$A$5:$A$504,0)),""))</f>
        <v/>
      </c>
      <c r="F29" s="21"/>
      <c r="G29" s="21"/>
      <c r="H29" s="21"/>
      <c r="I29" s="21"/>
    </row>
    <row r="30" customFormat="false" ht="15" hidden="false" customHeight="false" outlineLevel="0" collapsed="false">
      <c r="A30" s="25"/>
      <c r="B30" s="21"/>
      <c r="C30" s="21"/>
      <c r="D30" s="26" t="str">
        <f aca="false">IF(C30="","",IFERROR(INDEX('Cadastro Mestre'!$C$5:$C$504,MATCH(C30,'Cadastro Mestre'!$A$5:$A$504,0)),"código não encontrado"))</f>
        <v/>
      </c>
      <c r="E30" s="24" t="str">
        <f aca="false">IF(C30="","",IFERROR(INDEX('Cadastro Mestre'!$Q$5:$Q$504,MATCH(C30,'Cadastro Mestre'!$A$5:$A$504,0)),""))</f>
        <v/>
      </c>
      <c r="F30" s="21"/>
      <c r="G30" s="21"/>
      <c r="H30" s="21"/>
      <c r="I30" s="21"/>
    </row>
    <row r="31" customFormat="false" ht="15" hidden="false" customHeight="false" outlineLevel="0" collapsed="false">
      <c r="A31" s="25"/>
      <c r="B31" s="21"/>
      <c r="C31" s="21"/>
      <c r="D31" s="26" t="str">
        <f aca="false">IF(C31="","",IFERROR(INDEX('Cadastro Mestre'!$C$5:$C$504,MATCH(C31,'Cadastro Mestre'!$A$5:$A$504,0)),"código não encontrado"))</f>
        <v/>
      </c>
      <c r="E31" s="24" t="str">
        <f aca="false">IF(C31="","",IFERROR(INDEX('Cadastro Mestre'!$Q$5:$Q$504,MATCH(C31,'Cadastro Mestre'!$A$5:$A$504,0)),""))</f>
        <v/>
      </c>
      <c r="F31" s="21"/>
      <c r="G31" s="21"/>
      <c r="H31" s="21"/>
      <c r="I31" s="21"/>
    </row>
    <row r="32" customFormat="false" ht="15" hidden="false" customHeight="false" outlineLevel="0" collapsed="false">
      <c r="A32" s="25"/>
      <c r="B32" s="21"/>
      <c r="C32" s="21"/>
      <c r="D32" s="26" t="str">
        <f aca="false">IF(C32="","",IFERROR(INDEX('Cadastro Mestre'!$C$5:$C$504,MATCH(C32,'Cadastro Mestre'!$A$5:$A$504,0)),"código não encontrado"))</f>
        <v/>
      </c>
      <c r="E32" s="24" t="str">
        <f aca="false">IF(C32="","",IFERROR(INDEX('Cadastro Mestre'!$Q$5:$Q$504,MATCH(C32,'Cadastro Mestre'!$A$5:$A$504,0)),""))</f>
        <v/>
      </c>
      <c r="F32" s="21"/>
      <c r="G32" s="21"/>
      <c r="H32" s="21"/>
      <c r="I32" s="21"/>
    </row>
    <row r="33" customFormat="false" ht="15" hidden="false" customHeight="false" outlineLevel="0" collapsed="false">
      <c r="A33" s="25"/>
      <c r="B33" s="21"/>
      <c r="C33" s="21"/>
      <c r="D33" s="26" t="str">
        <f aca="false">IF(C33="","",IFERROR(INDEX('Cadastro Mestre'!$C$5:$C$504,MATCH(C33,'Cadastro Mestre'!$A$5:$A$504,0)),"código não encontrado"))</f>
        <v/>
      </c>
      <c r="E33" s="24" t="str">
        <f aca="false">IF(C33="","",IFERROR(INDEX('Cadastro Mestre'!$Q$5:$Q$504,MATCH(C33,'Cadastro Mestre'!$A$5:$A$504,0)),""))</f>
        <v/>
      </c>
      <c r="F33" s="21"/>
      <c r="G33" s="21"/>
      <c r="H33" s="21"/>
      <c r="I33" s="21"/>
    </row>
    <row r="34" customFormat="false" ht="15" hidden="false" customHeight="false" outlineLevel="0" collapsed="false">
      <c r="A34" s="25"/>
      <c r="B34" s="21"/>
      <c r="C34" s="21"/>
      <c r="D34" s="26" t="str">
        <f aca="false">IF(C34="","",IFERROR(INDEX('Cadastro Mestre'!$C$5:$C$504,MATCH(C34,'Cadastro Mestre'!$A$5:$A$504,0)),"código não encontrado"))</f>
        <v/>
      </c>
      <c r="E34" s="24" t="str">
        <f aca="false">IF(C34="","",IFERROR(INDEX('Cadastro Mestre'!$Q$5:$Q$504,MATCH(C34,'Cadastro Mestre'!$A$5:$A$504,0)),""))</f>
        <v/>
      </c>
      <c r="F34" s="21"/>
      <c r="G34" s="21"/>
      <c r="H34" s="21"/>
      <c r="I34" s="21"/>
    </row>
    <row r="35" customFormat="false" ht="15" hidden="false" customHeight="false" outlineLevel="0" collapsed="false">
      <c r="A35" s="25"/>
      <c r="B35" s="21"/>
      <c r="C35" s="21"/>
      <c r="D35" s="26" t="str">
        <f aca="false">IF(C35="","",IFERROR(INDEX('Cadastro Mestre'!$C$5:$C$504,MATCH(C35,'Cadastro Mestre'!$A$5:$A$504,0)),"código não encontrado"))</f>
        <v/>
      </c>
      <c r="E35" s="24" t="str">
        <f aca="false">IF(C35="","",IFERROR(INDEX('Cadastro Mestre'!$Q$5:$Q$504,MATCH(C35,'Cadastro Mestre'!$A$5:$A$504,0)),""))</f>
        <v/>
      </c>
      <c r="F35" s="21"/>
      <c r="G35" s="21"/>
      <c r="H35" s="21"/>
      <c r="I35" s="21"/>
    </row>
    <row r="36" customFormat="false" ht="15" hidden="false" customHeight="false" outlineLevel="0" collapsed="false">
      <c r="A36" s="25"/>
      <c r="B36" s="21"/>
      <c r="C36" s="21"/>
      <c r="D36" s="26" t="str">
        <f aca="false">IF(C36="","",IFERROR(INDEX('Cadastro Mestre'!$C$5:$C$504,MATCH(C36,'Cadastro Mestre'!$A$5:$A$504,0)),"código não encontrado"))</f>
        <v/>
      </c>
      <c r="E36" s="24" t="str">
        <f aca="false">IF(C36="","",IFERROR(INDEX('Cadastro Mestre'!$Q$5:$Q$504,MATCH(C36,'Cadastro Mestre'!$A$5:$A$504,0)),""))</f>
        <v/>
      </c>
      <c r="F36" s="21"/>
      <c r="G36" s="21"/>
      <c r="H36" s="21"/>
      <c r="I36" s="21"/>
    </row>
    <row r="37" customFormat="false" ht="15" hidden="false" customHeight="false" outlineLevel="0" collapsed="false">
      <c r="A37" s="25"/>
      <c r="B37" s="21"/>
      <c r="C37" s="21"/>
      <c r="D37" s="26" t="str">
        <f aca="false">IF(C37="","",IFERROR(INDEX('Cadastro Mestre'!$C$5:$C$504,MATCH(C37,'Cadastro Mestre'!$A$5:$A$504,0)),"código não encontrado"))</f>
        <v/>
      </c>
      <c r="E37" s="24" t="str">
        <f aca="false">IF(C37="","",IFERROR(INDEX('Cadastro Mestre'!$Q$5:$Q$504,MATCH(C37,'Cadastro Mestre'!$A$5:$A$504,0)),""))</f>
        <v/>
      </c>
      <c r="F37" s="21"/>
      <c r="G37" s="21"/>
      <c r="H37" s="21"/>
      <c r="I37" s="21"/>
    </row>
    <row r="38" customFormat="false" ht="15" hidden="false" customHeight="false" outlineLevel="0" collapsed="false">
      <c r="A38" s="25"/>
      <c r="B38" s="21"/>
      <c r="C38" s="21"/>
      <c r="D38" s="26" t="str">
        <f aca="false">IF(C38="","",IFERROR(INDEX('Cadastro Mestre'!$C$5:$C$504,MATCH(C38,'Cadastro Mestre'!$A$5:$A$504,0)),"código não encontrado"))</f>
        <v/>
      </c>
      <c r="E38" s="24" t="str">
        <f aca="false">IF(C38="","",IFERROR(INDEX('Cadastro Mestre'!$Q$5:$Q$504,MATCH(C38,'Cadastro Mestre'!$A$5:$A$504,0)),""))</f>
        <v/>
      </c>
      <c r="F38" s="21"/>
      <c r="G38" s="21"/>
      <c r="H38" s="21"/>
      <c r="I38" s="21"/>
    </row>
    <row r="39" customFormat="false" ht="15" hidden="false" customHeight="false" outlineLevel="0" collapsed="false">
      <c r="A39" s="25"/>
      <c r="B39" s="21"/>
      <c r="C39" s="21"/>
      <c r="D39" s="26" t="str">
        <f aca="false">IF(C39="","",IFERROR(INDEX('Cadastro Mestre'!$C$5:$C$504,MATCH(C39,'Cadastro Mestre'!$A$5:$A$504,0)),"código não encontrado"))</f>
        <v/>
      </c>
      <c r="E39" s="24" t="str">
        <f aca="false">IF(C39="","",IFERROR(INDEX('Cadastro Mestre'!$Q$5:$Q$504,MATCH(C39,'Cadastro Mestre'!$A$5:$A$504,0)),""))</f>
        <v/>
      </c>
      <c r="F39" s="21"/>
      <c r="G39" s="21"/>
      <c r="H39" s="21"/>
      <c r="I39" s="21"/>
    </row>
    <row r="40" customFormat="false" ht="15" hidden="false" customHeight="false" outlineLevel="0" collapsed="false">
      <c r="A40" s="25"/>
      <c r="B40" s="21"/>
      <c r="C40" s="21"/>
      <c r="D40" s="26" t="str">
        <f aca="false">IF(C40="","",IFERROR(INDEX('Cadastro Mestre'!$C$5:$C$504,MATCH(C40,'Cadastro Mestre'!$A$5:$A$504,0)),"código não encontrado"))</f>
        <v/>
      </c>
      <c r="E40" s="24" t="str">
        <f aca="false">IF(C40="","",IFERROR(INDEX('Cadastro Mestre'!$Q$5:$Q$504,MATCH(C40,'Cadastro Mestre'!$A$5:$A$504,0)),""))</f>
        <v/>
      </c>
      <c r="F40" s="21"/>
      <c r="G40" s="21"/>
      <c r="H40" s="21"/>
      <c r="I40" s="21"/>
    </row>
    <row r="41" customFormat="false" ht="15" hidden="false" customHeight="false" outlineLevel="0" collapsed="false">
      <c r="A41" s="25"/>
      <c r="B41" s="21"/>
      <c r="C41" s="21"/>
      <c r="D41" s="26" t="str">
        <f aca="false">IF(C41="","",IFERROR(INDEX('Cadastro Mestre'!$C$5:$C$504,MATCH(C41,'Cadastro Mestre'!$A$5:$A$504,0)),"código não encontrado"))</f>
        <v/>
      </c>
      <c r="E41" s="24" t="str">
        <f aca="false">IF(C41="","",IFERROR(INDEX('Cadastro Mestre'!$Q$5:$Q$504,MATCH(C41,'Cadastro Mestre'!$A$5:$A$504,0)),""))</f>
        <v/>
      </c>
      <c r="F41" s="21"/>
      <c r="G41" s="21"/>
      <c r="H41" s="21"/>
      <c r="I41" s="21"/>
    </row>
    <row r="42" customFormat="false" ht="15" hidden="false" customHeight="false" outlineLevel="0" collapsed="false">
      <c r="A42" s="25"/>
      <c r="B42" s="21"/>
      <c r="C42" s="21"/>
      <c r="D42" s="26" t="str">
        <f aca="false">IF(C42="","",IFERROR(INDEX('Cadastro Mestre'!$C$5:$C$504,MATCH(C42,'Cadastro Mestre'!$A$5:$A$504,0)),"código não encontrado"))</f>
        <v/>
      </c>
      <c r="E42" s="24" t="str">
        <f aca="false">IF(C42="","",IFERROR(INDEX('Cadastro Mestre'!$Q$5:$Q$504,MATCH(C42,'Cadastro Mestre'!$A$5:$A$504,0)),""))</f>
        <v/>
      </c>
      <c r="F42" s="21"/>
      <c r="G42" s="21"/>
      <c r="H42" s="21"/>
      <c r="I42" s="21"/>
    </row>
    <row r="43" customFormat="false" ht="15" hidden="false" customHeight="false" outlineLevel="0" collapsed="false">
      <c r="A43" s="25"/>
      <c r="B43" s="21"/>
      <c r="C43" s="21"/>
      <c r="D43" s="26" t="str">
        <f aca="false">IF(C43="","",IFERROR(INDEX('Cadastro Mestre'!$C$5:$C$504,MATCH(C43,'Cadastro Mestre'!$A$5:$A$504,0)),"código não encontrado"))</f>
        <v/>
      </c>
      <c r="E43" s="24" t="str">
        <f aca="false">IF(C43="","",IFERROR(INDEX('Cadastro Mestre'!$Q$5:$Q$504,MATCH(C43,'Cadastro Mestre'!$A$5:$A$504,0)),""))</f>
        <v/>
      </c>
      <c r="F43" s="21"/>
      <c r="G43" s="21"/>
      <c r="H43" s="21"/>
      <c r="I43" s="21"/>
    </row>
    <row r="44" customFormat="false" ht="15" hidden="false" customHeight="false" outlineLevel="0" collapsed="false">
      <c r="A44" s="25"/>
      <c r="B44" s="21"/>
      <c r="C44" s="21"/>
      <c r="D44" s="26" t="str">
        <f aca="false">IF(C44="","",IFERROR(INDEX('Cadastro Mestre'!$C$5:$C$504,MATCH(C44,'Cadastro Mestre'!$A$5:$A$504,0)),"código não encontrado"))</f>
        <v/>
      </c>
      <c r="E44" s="24" t="str">
        <f aca="false">IF(C44="","",IFERROR(INDEX('Cadastro Mestre'!$Q$5:$Q$504,MATCH(C44,'Cadastro Mestre'!$A$5:$A$504,0)),""))</f>
        <v/>
      </c>
      <c r="F44" s="21"/>
      <c r="G44" s="21"/>
      <c r="H44" s="21"/>
      <c r="I44" s="21"/>
    </row>
    <row r="45" customFormat="false" ht="15" hidden="false" customHeight="false" outlineLevel="0" collapsed="false">
      <c r="A45" s="25"/>
      <c r="B45" s="21"/>
      <c r="C45" s="21"/>
      <c r="D45" s="26" t="str">
        <f aca="false">IF(C45="","",IFERROR(INDEX('Cadastro Mestre'!$C$5:$C$504,MATCH(C45,'Cadastro Mestre'!$A$5:$A$504,0)),"código não encontrado"))</f>
        <v/>
      </c>
      <c r="E45" s="24" t="str">
        <f aca="false">IF(C45="","",IFERROR(INDEX('Cadastro Mestre'!$Q$5:$Q$504,MATCH(C45,'Cadastro Mestre'!$A$5:$A$504,0)),""))</f>
        <v/>
      </c>
      <c r="F45" s="21"/>
      <c r="G45" s="21"/>
      <c r="H45" s="21"/>
      <c r="I45" s="21"/>
    </row>
    <row r="46" customFormat="false" ht="15" hidden="false" customHeight="false" outlineLevel="0" collapsed="false">
      <c r="A46" s="25"/>
      <c r="B46" s="21"/>
      <c r="C46" s="21"/>
      <c r="D46" s="26" t="str">
        <f aca="false">IF(C46="","",IFERROR(INDEX('Cadastro Mestre'!$C$5:$C$504,MATCH(C46,'Cadastro Mestre'!$A$5:$A$504,0)),"código não encontrado"))</f>
        <v/>
      </c>
      <c r="E46" s="24" t="str">
        <f aca="false">IF(C46="","",IFERROR(INDEX('Cadastro Mestre'!$Q$5:$Q$504,MATCH(C46,'Cadastro Mestre'!$A$5:$A$504,0)),""))</f>
        <v/>
      </c>
      <c r="F46" s="21"/>
      <c r="G46" s="21"/>
      <c r="H46" s="21"/>
      <c r="I46" s="21"/>
    </row>
    <row r="47" customFormat="false" ht="15" hidden="false" customHeight="false" outlineLevel="0" collapsed="false">
      <c r="A47" s="25"/>
      <c r="B47" s="21"/>
      <c r="C47" s="21"/>
      <c r="D47" s="26" t="str">
        <f aca="false">IF(C47="","",IFERROR(INDEX('Cadastro Mestre'!$C$5:$C$504,MATCH(C47,'Cadastro Mestre'!$A$5:$A$504,0)),"código não encontrado"))</f>
        <v/>
      </c>
      <c r="E47" s="24" t="str">
        <f aca="false">IF(C47="","",IFERROR(INDEX('Cadastro Mestre'!$Q$5:$Q$504,MATCH(C47,'Cadastro Mestre'!$A$5:$A$504,0)),""))</f>
        <v/>
      </c>
      <c r="F47" s="21"/>
      <c r="G47" s="21"/>
      <c r="H47" s="21"/>
      <c r="I47" s="21"/>
    </row>
    <row r="48" customFormat="false" ht="15" hidden="false" customHeight="false" outlineLevel="0" collapsed="false">
      <c r="A48" s="25"/>
      <c r="B48" s="21"/>
      <c r="C48" s="21"/>
      <c r="D48" s="26" t="str">
        <f aca="false">IF(C48="","",IFERROR(INDEX('Cadastro Mestre'!$C$5:$C$504,MATCH(C48,'Cadastro Mestre'!$A$5:$A$504,0)),"código não encontrado"))</f>
        <v/>
      </c>
      <c r="E48" s="24" t="str">
        <f aca="false">IF(C48="","",IFERROR(INDEX('Cadastro Mestre'!$Q$5:$Q$504,MATCH(C48,'Cadastro Mestre'!$A$5:$A$504,0)),""))</f>
        <v/>
      </c>
      <c r="F48" s="21"/>
      <c r="G48" s="21"/>
      <c r="H48" s="21"/>
      <c r="I48" s="21"/>
    </row>
    <row r="49" customFormat="false" ht="15" hidden="false" customHeight="false" outlineLevel="0" collapsed="false">
      <c r="A49" s="25"/>
      <c r="B49" s="21"/>
      <c r="C49" s="21"/>
      <c r="D49" s="26" t="str">
        <f aca="false">IF(C49="","",IFERROR(INDEX('Cadastro Mestre'!$C$5:$C$504,MATCH(C49,'Cadastro Mestre'!$A$5:$A$504,0)),"código não encontrado"))</f>
        <v/>
      </c>
      <c r="E49" s="24" t="str">
        <f aca="false">IF(C49="","",IFERROR(INDEX('Cadastro Mestre'!$Q$5:$Q$504,MATCH(C49,'Cadastro Mestre'!$A$5:$A$504,0)),""))</f>
        <v/>
      </c>
      <c r="F49" s="21"/>
      <c r="G49" s="21"/>
      <c r="H49" s="21"/>
      <c r="I49" s="21"/>
    </row>
    <row r="50" customFormat="false" ht="15" hidden="false" customHeight="false" outlineLevel="0" collapsed="false">
      <c r="A50" s="25"/>
      <c r="B50" s="21"/>
      <c r="C50" s="21"/>
      <c r="D50" s="26" t="str">
        <f aca="false">IF(C50="","",IFERROR(INDEX('Cadastro Mestre'!$C$5:$C$504,MATCH(C50,'Cadastro Mestre'!$A$5:$A$504,0)),"código não encontrado"))</f>
        <v/>
      </c>
      <c r="E50" s="24" t="str">
        <f aca="false">IF(C50="","",IFERROR(INDEX('Cadastro Mestre'!$Q$5:$Q$504,MATCH(C50,'Cadastro Mestre'!$A$5:$A$504,0)),""))</f>
        <v/>
      </c>
      <c r="F50" s="21"/>
      <c r="G50" s="21"/>
      <c r="H50" s="21"/>
      <c r="I50" s="21"/>
    </row>
    <row r="51" customFormat="false" ht="15" hidden="false" customHeight="false" outlineLevel="0" collapsed="false">
      <c r="A51" s="25"/>
      <c r="B51" s="21"/>
      <c r="C51" s="21"/>
      <c r="D51" s="26" t="str">
        <f aca="false">IF(C51="","",IFERROR(INDEX('Cadastro Mestre'!$C$5:$C$504,MATCH(C51,'Cadastro Mestre'!$A$5:$A$504,0)),"código não encontrado"))</f>
        <v/>
      </c>
      <c r="E51" s="24" t="str">
        <f aca="false">IF(C51="","",IFERROR(INDEX('Cadastro Mestre'!$Q$5:$Q$504,MATCH(C51,'Cadastro Mestre'!$A$5:$A$504,0)),""))</f>
        <v/>
      </c>
      <c r="F51" s="21"/>
      <c r="G51" s="21"/>
      <c r="H51" s="21"/>
      <c r="I51" s="21"/>
    </row>
    <row r="52" customFormat="false" ht="15" hidden="false" customHeight="false" outlineLevel="0" collapsed="false">
      <c r="A52" s="25"/>
      <c r="B52" s="21"/>
      <c r="C52" s="21"/>
      <c r="D52" s="26" t="str">
        <f aca="false">IF(C52="","",IFERROR(INDEX('Cadastro Mestre'!$C$5:$C$504,MATCH(C52,'Cadastro Mestre'!$A$5:$A$504,0)),"código não encontrado"))</f>
        <v/>
      </c>
      <c r="E52" s="24" t="str">
        <f aca="false">IF(C52="","",IFERROR(INDEX('Cadastro Mestre'!$Q$5:$Q$504,MATCH(C52,'Cadastro Mestre'!$A$5:$A$504,0)),""))</f>
        <v/>
      </c>
      <c r="F52" s="21"/>
      <c r="G52" s="21"/>
      <c r="H52" s="21"/>
      <c r="I52" s="21"/>
    </row>
    <row r="53" customFormat="false" ht="15" hidden="false" customHeight="false" outlineLevel="0" collapsed="false">
      <c r="A53" s="25"/>
      <c r="B53" s="21"/>
      <c r="C53" s="21"/>
      <c r="D53" s="26" t="str">
        <f aca="false">IF(C53="","",IFERROR(INDEX('Cadastro Mestre'!$C$5:$C$504,MATCH(C53,'Cadastro Mestre'!$A$5:$A$504,0)),"código não encontrado"))</f>
        <v/>
      </c>
      <c r="E53" s="24" t="str">
        <f aca="false">IF(C53="","",IFERROR(INDEX('Cadastro Mestre'!$Q$5:$Q$504,MATCH(C53,'Cadastro Mestre'!$A$5:$A$504,0)),""))</f>
        <v/>
      </c>
      <c r="F53" s="21"/>
      <c r="G53" s="21"/>
      <c r="H53" s="21"/>
      <c r="I53" s="21"/>
    </row>
    <row r="54" customFormat="false" ht="15" hidden="false" customHeight="false" outlineLevel="0" collapsed="false">
      <c r="A54" s="25"/>
      <c r="B54" s="21"/>
      <c r="C54" s="21"/>
      <c r="D54" s="26" t="str">
        <f aca="false">IF(C54="","",IFERROR(INDEX('Cadastro Mestre'!$C$5:$C$504,MATCH(C54,'Cadastro Mestre'!$A$5:$A$504,0)),"código não encontrado"))</f>
        <v/>
      </c>
      <c r="E54" s="24" t="str">
        <f aca="false">IF(C54="","",IFERROR(INDEX('Cadastro Mestre'!$Q$5:$Q$504,MATCH(C54,'Cadastro Mestre'!$A$5:$A$504,0)),""))</f>
        <v/>
      </c>
      <c r="F54" s="21"/>
      <c r="G54" s="21"/>
      <c r="H54" s="21"/>
      <c r="I54" s="21"/>
    </row>
    <row r="55" customFormat="false" ht="15" hidden="false" customHeight="false" outlineLevel="0" collapsed="false">
      <c r="A55" s="25"/>
      <c r="B55" s="21"/>
      <c r="C55" s="21"/>
      <c r="D55" s="26" t="str">
        <f aca="false">IF(C55="","",IFERROR(INDEX('Cadastro Mestre'!$C$5:$C$504,MATCH(C55,'Cadastro Mestre'!$A$5:$A$504,0)),"código não encontrado"))</f>
        <v/>
      </c>
      <c r="E55" s="24" t="str">
        <f aca="false">IF(C55="","",IFERROR(INDEX('Cadastro Mestre'!$Q$5:$Q$504,MATCH(C55,'Cadastro Mestre'!$A$5:$A$504,0)),""))</f>
        <v/>
      </c>
      <c r="F55" s="21"/>
      <c r="G55" s="21"/>
      <c r="H55" s="21"/>
      <c r="I55" s="21"/>
    </row>
    <row r="56" customFormat="false" ht="15" hidden="false" customHeight="false" outlineLevel="0" collapsed="false">
      <c r="A56" s="25"/>
      <c r="B56" s="21"/>
      <c r="C56" s="21"/>
      <c r="D56" s="26" t="str">
        <f aca="false">IF(C56="","",IFERROR(INDEX('Cadastro Mestre'!$C$5:$C$504,MATCH(C56,'Cadastro Mestre'!$A$5:$A$504,0)),"código não encontrado"))</f>
        <v/>
      </c>
      <c r="E56" s="24" t="str">
        <f aca="false">IF(C56="","",IFERROR(INDEX('Cadastro Mestre'!$Q$5:$Q$504,MATCH(C56,'Cadastro Mestre'!$A$5:$A$504,0)),""))</f>
        <v/>
      </c>
      <c r="F56" s="21"/>
      <c r="G56" s="21"/>
      <c r="H56" s="21"/>
      <c r="I56" s="21"/>
    </row>
    <row r="57" customFormat="false" ht="15" hidden="false" customHeight="false" outlineLevel="0" collapsed="false">
      <c r="A57" s="25"/>
      <c r="B57" s="21"/>
      <c r="C57" s="21"/>
      <c r="D57" s="26" t="str">
        <f aca="false">IF(C57="","",IFERROR(INDEX('Cadastro Mestre'!$C$5:$C$504,MATCH(C57,'Cadastro Mestre'!$A$5:$A$504,0)),"código não encontrado"))</f>
        <v/>
      </c>
      <c r="E57" s="24" t="str">
        <f aca="false">IF(C57="","",IFERROR(INDEX('Cadastro Mestre'!$Q$5:$Q$504,MATCH(C57,'Cadastro Mestre'!$A$5:$A$504,0)),""))</f>
        <v/>
      </c>
      <c r="F57" s="21"/>
      <c r="G57" s="21"/>
      <c r="H57" s="21"/>
      <c r="I57" s="21"/>
    </row>
    <row r="58" customFormat="false" ht="15" hidden="false" customHeight="false" outlineLevel="0" collapsed="false">
      <c r="A58" s="25"/>
      <c r="B58" s="21"/>
      <c r="C58" s="21"/>
      <c r="D58" s="26" t="str">
        <f aca="false">IF(C58="","",IFERROR(INDEX('Cadastro Mestre'!$C$5:$C$504,MATCH(C58,'Cadastro Mestre'!$A$5:$A$504,0)),"código não encontrado"))</f>
        <v/>
      </c>
      <c r="E58" s="24" t="str">
        <f aca="false">IF(C58="","",IFERROR(INDEX('Cadastro Mestre'!$Q$5:$Q$504,MATCH(C58,'Cadastro Mestre'!$A$5:$A$504,0)),""))</f>
        <v/>
      </c>
      <c r="F58" s="21"/>
      <c r="G58" s="21"/>
      <c r="H58" s="21"/>
      <c r="I58" s="21"/>
    </row>
    <row r="59" customFormat="false" ht="15" hidden="false" customHeight="false" outlineLevel="0" collapsed="false">
      <c r="A59" s="25"/>
      <c r="B59" s="21"/>
      <c r="C59" s="21"/>
      <c r="D59" s="26" t="str">
        <f aca="false">IF(C59="","",IFERROR(INDEX('Cadastro Mestre'!$C$5:$C$504,MATCH(C59,'Cadastro Mestre'!$A$5:$A$504,0)),"código não encontrado"))</f>
        <v/>
      </c>
      <c r="E59" s="24" t="str">
        <f aca="false">IF(C59="","",IFERROR(INDEX('Cadastro Mestre'!$Q$5:$Q$504,MATCH(C59,'Cadastro Mestre'!$A$5:$A$504,0)),""))</f>
        <v/>
      </c>
      <c r="F59" s="21"/>
      <c r="G59" s="21"/>
      <c r="H59" s="21"/>
      <c r="I59" s="21"/>
    </row>
    <row r="60" customFormat="false" ht="15" hidden="false" customHeight="false" outlineLevel="0" collapsed="false">
      <c r="A60" s="25"/>
      <c r="B60" s="21"/>
      <c r="C60" s="21"/>
      <c r="D60" s="26" t="str">
        <f aca="false">IF(C60="","",IFERROR(INDEX('Cadastro Mestre'!$C$5:$C$504,MATCH(C60,'Cadastro Mestre'!$A$5:$A$504,0)),"código não encontrado"))</f>
        <v/>
      </c>
      <c r="E60" s="24" t="str">
        <f aca="false">IF(C60="","",IFERROR(INDEX('Cadastro Mestre'!$Q$5:$Q$504,MATCH(C60,'Cadastro Mestre'!$A$5:$A$504,0)),""))</f>
        <v/>
      </c>
      <c r="F60" s="21"/>
      <c r="G60" s="21"/>
      <c r="H60" s="21"/>
      <c r="I60" s="21"/>
    </row>
    <row r="61" customFormat="false" ht="15" hidden="false" customHeight="false" outlineLevel="0" collapsed="false">
      <c r="A61" s="25"/>
      <c r="B61" s="21"/>
      <c r="C61" s="21"/>
      <c r="D61" s="26" t="str">
        <f aca="false">IF(C61="","",IFERROR(INDEX('Cadastro Mestre'!$C$5:$C$504,MATCH(C61,'Cadastro Mestre'!$A$5:$A$504,0)),"código não encontrado"))</f>
        <v/>
      </c>
      <c r="E61" s="24" t="str">
        <f aca="false">IF(C61="","",IFERROR(INDEX('Cadastro Mestre'!$Q$5:$Q$504,MATCH(C61,'Cadastro Mestre'!$A$5:$A$504,0)),""))</f>
        <v/>
      </c>
      <c r="F61" s="21"/>
      <c r="G61" s="21"/>
      <c r="H61" s="21"/>
      <c r="I61" s="21"/>
    </row>
    <row r="62" customFormat="false" ht="15" hidden="false" customHeight="false" outlineLevel="0" collapsed="false">
      <c r="A62" s="25"/>
      <c r="B62" s="21"/>
      <c r="C62" s="21"/>
      <c r="D62" s="26" t="str">
        <f aca="false">IF(C62="","",IFERROR(INDEX('Cadastro Mestre'!$C$5:$C$504,MATCH(C62,'Cadastro Mestre'!$A$5:$A$504,0)),"código não encontrado"))</f>
        <v/>
      </c>
      <c r="E62" s="24" t="str">
        <f aca="false">IF(C62="","",IFERROR(INDEX('Cadastro Mestre'!$Q$5:$Q$504,MATCH(C62,'Cadastro Mestre'!$A$5:$A$504,0)),""))</f>
        <v/>
      </c>
      <c r="F62" s="21"/>
      <c r="G62" s="21"/>
      <c r="H62" s="21"/>
      <c r="I62" s="21"/>
    </row>
    <row r="63" customFormat="false" ht="15" hidden="false" customHeight="false" outlineLevel="0" collapsed="false">
      <c r="A63" s="25"/>
      <c r="B63" s="21"/>
      <c r="C63" s="21"/>
      <c r="D63" s="26" t="str">
        <f aca="false">IF(C63="","",IFERROR(INDEX('Cadastro Mestre'!$C$5:$C$504,MATCH(C63,'Cadastro Mestre'!$A$5:$A$504,0)),"código não encontrado"))</f>
        <v/>
      </c>
      <c r="E63" s="24" t="str">
        <f aca="false">IF(C63="","",IFERROR(INDEX('Cadastro Mestre'!$Q$5:$Q$504,MATCH(C63,'Cadastro Mestre'!$A$5:$A$504,0)),""))</f>
        <v/>
      </c>
      <c r="F63" s="21"/>
      <c r="G63" s="21"/>
      <c r="H63" s="21"/>
      <c r="I63" s="21"/>
    </row>
    <row r="64" customFormat="false" ht="15" hidden="false" customHeight="false" outlineLevel="0" collapsed="false">
      <c r="A64" s="25"/>
      <c r="B64" s="21"/>
      <c r="C64" s="21"/>
      <c r="D64" s="26" t="str">
        <f aca="false">IF(C64="","",IFERROR(INDEX('Cadastro Mestre'!$C$5:$C$504,MATCH(C64,'Cadastro Mestre'!$A$5:$A$504,0)),"código não encontrado"))</f>
        <v/>
      </c>
      <c r="E64" s="24" t="str">
        <f aca="false">IF(C64="","",IFERROR(INDEX('Cadastro Mestre'!$Q$5:$Q$504,MATCH(C64,'Cadastro Mestre'!$A$5:$A$504,0)),""))</f>
        <v/>
      </c>
      <c r="F64" s="21"/>
      <c r="G64" s="21"/>
      <c r="H64" s="21"/>
      <c r="I64" s="21"/>
    </row>
    <row r="65" customFormat="false" ht="15" hidden="false" customHeight="false" outlineLevel="0" collapsed="false">
      <c r="A65" s="25"/>
      <c r="B65" s="21"/>
      <c r="C65" s="21"/>
      <c r="D65" s="26" t="str">
        <f aca="false">IF(C65="","",IFERROR(INDEX('Cadastro Mestre'!$C$5:$C$504,MATCH(C65,'Cadastro Mestre'!$A$5:$A$504,0)),"código não encontrado"))</f>
        <v/>
      </c>
      <c r="E65" s="24" t="str">
        <f aca="false">IF(C65="","",IFERROR(INDEX('Cadastro Mestre'!$Q$5:$Q$504,MATCH(C65,'Cadastro Mestre'!$A$5:$A$504,0)),""))</f>
        <v/>
      </c>
      <c r="F65" s="21"/>
      <c r="G65" s="21"/>
      <c r="H65" s="21"/>
      <c r="I65" s="21"/>
    </row>
    <row r="66" customFormat="false" ht="15" hidden="false" customHeight="false" outlineLevel="0" collapsed="false">
      <c r="A66" s="25"/>
      <c r="B66" s="21"/>
      <c r="C66" s="21"/>
      <c r="D66" s="26" t="str">
        <f aca="false">IF(C66="","",IFERROR(INDEX('Cadastro Mestre'!$C$5:$C$504,MATCH(C66,'Cadastro Mestre'!$A$5:$A$504,0)),"código não encontrado"))</f>
        <v/>
      </c>
      <c r="E66" s="24" t="str">
        <f aca="false">IF(C66="","",IFERROR(INDEX('Cadastro Mestre'!$Q$5:$Q$504,MATCH(C66,'Cadastro Mestre'!$A$5:$A$504,0)),""))</f>
        <v/>
      </c>
      <c r="F66" s="21"/>
      <c r="G66" s="21"/>
      <c r="H66" s="21"/>
      <c r="I66" s="21"/>
    </row>
    <row r="67" customFormat="false" ht="15" hidden="false" customHeight="false" outlineLevel="0" collapsed="false">
      <c r="A67" s="25"/>
      <c r="B67" s="21"/>
      <c r="C67" s="21"/>
      <c r="D67" s="26" t="str">
        <f aca="false">IF(C67="","",IFERROR(INDEX('Cadastro Mestre'!$C$5:$C$504,MATCH(C67,'Cadastro Mestre'!$A$5:$A$504,0)),"código não encontrado"))</f>
        <v/>
      </c>
      <c r="E67" s="24" t="str">
        <f aca="false">IF(C67="","",IFERROR(INDEX('Cadastro Mestre'!$Q$5:$Q$504,MATCH(C67,'Cadastro Mestre'!$A$5:$A$504,0)),""))</f>
        <v/>
      </c>
      <c r="F67" s="21"/>
      <c r="G67" s="21"/>
      <c r="H67" s="21"/>
      <c r="I67" s="21"/>
    </row>
    <row r="68" customFormat="false" ht="15" hidden="false" customHeight="false" outlineLevel="0" collapsed="false">
      <c r="A68" s="25"/>
      <c r="B68" s="21"/>
      <c r="C68" s="21"/>
      <c r="D68" s="26" t="str">
        <f aca="false">IF(C68="","",IFERROR(INDEX('Cadastro Mestre'!$C$5:$C$504,MATCH(C68,'Cadastro Mestre'!$A$5:$A$504,0)),"código não encontrado"))</f>
        <v/>
      </c>
      <c r="E68" s="24" t="str">
        <f aca="false">IF(C68="","",IFERROR(INDEX('Cadastro Mestre'!$Q$5:$Q$504,MATCH(C68,'Cadastro Mestre'!$A$5:$A$504,0)),""))</f>
        <v/>
      </c>
      <c r="F68" s="21"/>
      <c r="G68" s="21"/>
      <c r="H68" s="21"/>
      <c r="I68" s="21"/>
    </row>
    <row r="69" customFormat="false" ht="15" hidden="false" customHeight="false" outlineLevel="0" collapsed="false">
      <c r="A69" s="25"/>
      <c r="B69" s="21"/>
      <c r="C69" s="21"/>
      <c r="D69" s="26" t="str">
        <f aca="false">IF(C69="","",IFERROR(INDEX('Cadastro Mestre'!$C$5:$C$504,MATCH(C69,'Cadastro Mestre'!$A$5:$A$504,0)),"código não encontrado"))</f>
        <v/>
      </c>
      <c r="E69" s="24" t="str">
        <f aca="false">IF(C69="","",IFERROR(INDEX('Cadastro Mestre'!$Q$5:$Q$504,MATCH(C69,'Cadastro Mestre'!$A$5:$A$504,0)),""))</f>
        <v/>
      </c>
      <c r="F69" s="21"/>
      <c r="G69" s="21"/>
      <c r="H69" s="21"/>
      <c r="I69" s="21"/>
    </row>
    <row r="70" customFormat="false" ht="15" hidden="false" customHeight="false" outlineLevel="0" collapsed="false">
      <c r="A70" s="25"/>
      <c r="B70" s="21"/>
      <c r="C70" s="21"/>
      <c r="D70" s="26" t="str">
        <f aca="false">IF(C70="","",IFERROR(INDEX('Cadastro Mestre'!$C$5:$C$504,MATCH(C70,'Cadastro Mestre'!$A$5:$A$504,0)),"código não encontrado"))</f>
        <v/>
      </c>
      <c r="E70" s="24" t="str">
        <f aca="false">IF(C70="","",IFERROR(INDEX('Cadastro Mestre'!$Q$5:$Q$504,MATCH(C70,'Cadastro Mestre'!$A$5:$A$504,0)),""))</f>
        <v/>
      </c>
      <c r="F70" s="21"/>
      <c r="G70" s="21"/>
      <c r="H70" s="21"/>
      <c r="I70" s="21"/>
    </row>
    <row r="71" customFormat="false" ht="15" hidden="false" customHeight="false" outlineLevel="0" collapsed="false">
      <c r="A71" s="25"/>
      <c r="B71" s="21"/>
      <c r="C71" s="21"/>
      <c r="D71" s="26" t="str">
        <f aca="false">IF(C71="","",IFERROR(INDEX('Cadastro Mestre'!$C$5:$C$504,MATCH(C71,'Cadastro Mestre'!$A$5:$A$504,0)),"código não encontrado"))</f>
        <v/>
      </c>
      <c r="E71" s="24" t="str">
        <f aca="false">IF(C71="","",IFERROR(INDEX('Cadastro Mestre'!$Q$5:$Q$504,MATCH(C71,'Cadastro Mestre'!$A$5:$A$504,0)),""))</f>
        <v/>
      </c>
      <c r="F71" s="21"/>
      <c r="G71" s="21"/>
      <c r="H71" s="21"/>
      <c r="I71" s="21"/>
    </row>
    <row r="72" customFormat="false" ht="15" hidden="false" customHeight="false" outlineLevel="0" collapsed="false">
      <c r="A72" s="25"/>
      <c r="B72" s="21"/>
      <c r="C72" s="21"/>
      <c r="D72" s="26" t="str">
        <f aca="false">IF(C72="","",IFERROR(INDEX('Cadastro Mestre'!$C$5:$C$504,MATCH(C72,'Cadastro Mestre'!$A$5:$A$504,0)),"código não encontrado"))</f>
        <v/>
      </c>
      <c r="E72" s="24" t="str">
        <f aca="false">IF(C72="","",IFERROR(INDEX('Cadastro Mestre'!$Q$5:$Q$504,MATCH(C72,'Cadastro Mestre'!$A$5:$A$504,0)),""))</f>
        <v/>
      </c>
      <c r="F72" s="21"/>
      <c r="G72" s="21"/>
      <c r="H72" s="21"/>
      <c r="I72" s="21"/>
    </row>
    <row r="73" customFormat="false" ht="15" hidden="false" customHeight="false" outlineLevel="0" collapsed="false">
      <c r="A73" s="25"/>
      <c r="B73" s="21"/>
      <c r="C73" s="21"/>
      <c r="D73" s="26" t="str">
        <f aca="false">IF(C73="","",IFERROR(INDEX('Cadastro Mestre'!$C$5:$C$504,MATCH(C73,'Cadastro Mestre'!$A$5:$A$504,0)),"código não encontrado"))</f>
        <v/>
      </c>
      <c r="E73" s="24" t="str">
        <f aca="false">IF(C73="","",IFERROR(INDEX('Cadastro Mestre'!$Q$5:$Q$504,MATCH(C73,'Cadastro Mestre'!$A$5:$A$504,0)),""))</f>
        <v/>
      </c>
      <c r="F73" s="21"/>
      <c r="G73" s="21"/>
      <c r="H73" s="21"/>
      <c r="I73" s="21"/>
    </row>
    <row r="74" customFormat="false" ht="15" hidden="false" customHeight="false" outlineLevel="0" collapsed="false">
      <c r="A74" s="25"/>
      <c r="B74" s="21"/>
      <c r="C74" s="21"/>
      <c r="D74" s="26" t="str">
        <f aca="false">IF(C74="","",IFERROR(INDEX('Cadastro Mestre'!$C$5:$C$504,MATCH(C74,'Cadastro Mestre'!$A$5:$A$504,0)),"código não encontrado"))</f>
        <v/>
      </c>
      <c r="E74" s="24" t="str">
        <f aca="false">IF(C74="","",IFERROR(INDEX('Cadastro Mestre'!$Q$5:$Q$504,MATCH(C74,'Cadastro Mestre'!$A$5:$A$504,0)),""))</f>
        <v/>
      </c>
      <c r="F74" s="21"/>
      <c r="G74" s="21"/>
      <c r="H74" s="21"/>
      <c r="I74" s="21"/>
    </row>
    <row r="75" customFormat="false" ht="15" hidden="false" customHeight="false" outlineLevel="0" collapsed="false">
      <c r="A75" s="25"/>
      <c r="B75" s="21"/>
      <c r="C75" s="21"/>
      <c r="D75" s="26" t="str">
        <f aca="false">IF(C75="","",IFERROR(INDEX('Cadastro Mestre'!$C$5:$C$504,MATCH(C75,'Cadastro Mestre'!$A$5:$A$504,0)),"código não encontrado"))</f>
        <v/>
      </c>
      <c r="E75" s="24" t="str">
        <f aca="false">IF(C75="","",IFERROR(INDEX('Cadastro Mestre'!$Q$5:$Q$504,MATCH(C75,'Cadastro Mestre'!$A$5:$A$504,0)),""))</f>
        <v/>
      </c>
      <c r="F75" s="21"/>
      <c r="G75" s="21"/>
      <c r="H75" s="21"/>
      <c r="I75" s="21"/>
    </row>
    <row r="76" customFormat="false" ht="15" hidden="false" customHeight="false" outlineLevel="0" collapsed="false">
      <c r="A76" s="25"/>
      <c r="B76" s="21"/>
      <c r="C76" s="21"/>
      <c r="D76" s="26" t="str">
        <f aca="false">IF(C76="","",IFERROR(INDEX('Cadastro Mestre'!$C$5:$C$504,MATCH(C76,'Cadastro Mestre'!$A$5:$A$504,0)),"código não encontrado"))</f>
        <v/>
      </c>
      <c r="E76" s="24" t="str">
        <f aca="false">IF(C76="","",IFERROR(INDEX('Cadastro Mestre'!$Q$5:$Q$504,MATCH(C76,'Cadastro Mestre'!$A$5:$A$504,0)),""))</f>
        <v/>
      </c>
      <c r="F76" s="21"/>
      <c r="G76" s="21"/>
      <c r="H76" s="21"/>
      <c r="I76" s="21"/>
    </row>
    <row r="77" customFormat="false" ht="15" hidden="false" customHeight="false" outlineLevel="0" collapsed="false">
      <c r="A77" s="25"/>
      <c r="B77" s="21"/>
      <c r="C77" s="21"/>
      <c r="D77" s="26" t="str">
        <f aca="false">IF(C77="","",IFERROR(INDEX('Cadastro Mestre'!$C$5:$C$504,MATCH(C77,'Cadastro Mestre'!$A$5:$A$504,0)),"código não encontrado"))</f>
        <v/>
      </c>
      <c r="E77" s="24" t="str">
        <f aca="false">IF(C77="","",IFERROR(INDEX('Cadastro Mestre'!$Q$5:$Q$504,MATCH(C77,'Cadastro Mestre'!$A$5:$A$504,0)),""))</f>
        <v/>
      </c>
      <c r="F77" s="21"/>
      <c r="G77" s="21"/>
      <c r="H77" s="21"/>
      <c r="I77" s="21"/>
    </row>
    <row r="78" customFormat="false" ht="15" hidden="false" customHeight="false" outlineLevel="0" collapsed="false">
      <c r="A78" s="25"/>
      <c r="B78" s="21"/>
      <c r="C78" s="21"/>
      <c r="D78" s="26" t="str">
        <f aca="false">IF(C78="","",IFERROR(INDEX('Cadastro Mestre'!$C$5:$C$504,MATCH(C78,'Cadastro Mestre'!$A$5:$A$504,0)),"código não encontrado"))</f>
        <v/>
      </c>
      <c r="E78" s="24" t="str">
        <f aca="false">IF(C78="","",IFERROR(INDEX('Cadastro Mestre'!$Q$5:$Q$504,MATCH(C78,'Cadastro Mestre'!$A$5:$A$504,0)),""))</f>
        <v/>
      </c>
      <c r="F78" s="21"/>
      <c r="G78" s="21"/>
      <c r="H78" s="21"/>
      <c r="I78" s="21"/>
    </row>
    <row r="79" customFormat="false" ht="15" hidden="false" customHeight="false" outlineLevel="0" collapsed="false">
      <c r="A79" s="25"/>
      <c r="B79" s="21"/>
      <c r="C79" s="21"/>
      <c r="D79" s="26" t="str">
        <f aca="false">IF(C79="","",IFERROR(INDEX('Cadastro Mestre'!$C$5:$C$504,MATCH(C79,'Cadastro Mestre'!$A$5:$A$504,0)),"código não encontrado"))</f>
        <v/>
      </c>
      <c r="E79" s="24" t="str">
        <f aca="false">IF(C79="","",IFERROR(INDEX('Cadastro Mestre'!$Q$5:$Q$504,MATCH(C79,'Cadastro Mestre'!$A$5:$A$504,0)),""))</f>
        <v/>
      </c>
      <c r="F79" s="21"/>
      <c r="G79" s="21"/>
      <c r="H79" s="21"/>
      <c r="I79" s="21"/>
    </row>
    <row r="80" customFormat="false" ht="15" hidden="false" customHeight="false" outlineLevel="0" collapsed="false">
      <c r="A80" s="25"/>
      <c r="B80" s="21"/>
      <c r="C80" s="21"/>
      <c r="D80" s="26" t="str">
        <f aca="false">IF(C80="","",IFERROR(INDEX('Cadastro Mestre'!$C$5:$C$504,MATCH(C80,'Cadastro Mestre'!$A$5:$A$504,0)),"código não encontrado"))</f>
        <v/>
      </c>
      <c r="E80" s="24" t="str">
        <f aca="false">IF(C80="","",IFERROR(INDEX('Cadastro Mestre'!$Q$5:$Q$504,MATCH(C80,'Cadastro Mestre'!$A$5:$A$504,0)),""))</f>
        <v/>
      </c>
      <c r="F80" s="21"/>
      <c r="G80" s="21"/>
      <c r="H80" s="21"/>
      <c r="I80" s="21"/>
    </row>
    <row r="81" customFormat="false" ht="15" hidden="false" customHeight="false" outlineLevel="0" collapsed="false">
      <c r="A81" s="25"/>
      <c r="B81" s="21"/>
      <c r="C81" s="21"/>
      <c r="D81" s="26" t="str">
        <f aca="false">IF(C81="","",IFERROR(INDEX('Cadastro Mestre'!$C$5:$C$504,MATCH(C81,'Cadastro Mestre'!$A$5:$A$504,0)),"código não encontrado"))</f>
        <v/>
      </c>
      <c r="E81" s="24" t="str">
        <f aca="false">IF(C81="","",IFERROR(INDEX('Cadastro Mestre'!$Q$5:$Q$504,MATCH(C81,'Cadastro Mestre'!$A$5:$A$504,0)),""))</f>
        <v/>
      </c>
      <c r="F81" s="21"/>
      <c r="G81" s="21"/>
      <c r="H81" s="21"/>
      <c r="I81" s="21"/>
    </row>
    <row r="82" customFormat="false" ht="15" hidden="false" customHeight="false" outlineLevel="0" collapsed="false">
      <c r="A82" s="25"/>
      <c r="B82" s="21"/>
      <c r="C82" s="21"/>
      <c r="D82" s="26" t="str">
        <f aca="false">IF(C82="","",IFERROR(INDEX('Cadastro Mestre'!$C$5:$C$504,MATCH(C82,'Cadastro Mestre'!$A$5:$A$504,0)),"código não encontrado"))</f>
        <v/>
      </c>
      <c r="E82" s="24" t="str">
        <f aca="false">IF(C82="","",IFERROR(INDEX('Cadastro Mestre'!$Q$5:$Q$504,MATCH(C82,'Cadastro Mestre'!$A$5:$A$504,0)),""))</f>
        <v/>
      </c>
      <c r="F82" s="21"/>
      <c r="G82" s="21"/>
      <c r="H82" s="21"/>
      <c r="I82" s="21"/>
    </row>
    <row r="83" customFormat="false" ht="15" hidden="false" customHeight="false" outlineLevel="0" collapsed="false">
      <c r="A83" s="25"/>
      <c r="B83" s="21"/>
      <c r="C83" s="21"/>
      <c r="D83" s="26" t="str">
        <f aca="false">IF(C83="","",IFERROR(INDEX('Cadastro Mestre'!$C$5:$C$504,MATCH(C83,'Cadastro Mestre'!$A$5:$A$504,0)),"código não encontrado"))</f>
        <v/>
      </c>
      <c r="E83" s="24" t="str">
        <f aca="false">IF(C83="","",IFERROR(INDEX('Cadastro Mestre'!$Q$5:$Q$504,MATCH(C83,'Cadastro Mestre'!$A$5:$A$504,0)),""))</f>
        <v/>
      </c>
      <c r="F83" s="21"/>
      <c r="G83" s="21"/>
      <c r="H83" s="21"/>
      <c r="I83" s="21"/>
    </row>
    <row r="84" customFormat="false" ht="15" hidden="false" customHeight="false" outlineLevel="0" collapsed="false">
      <c r="A84" s="25"/>
      <c r="B84" s="21"/>
      <c r="C84" s="21"/>
      <c r="D84" s="26" t="str">
        <f aca="false">IF(C84="","",IFERROR(INDEX('Cadastro Mestre'!$C$5:$C$504,MATCH(C84,'Cadastro Mestre'!$A$5:$A$504,0)),"código não encontrado"))</f>
        <v/>
      </c>
      <c r="E84" s="24" t="str">
        <f aca="false">IF(C84="","",IFERROR(INDEX('Cadastro Mestre'!$Q$5:$Q$504,MATCH(C84,'Cadastro Mestre'!$A$5:$A$504,0)),""))</f>
        <v/>
      </c>
      <c r="F84" s="21"/>
      <c r="G84" s="21"/>
      <c r="H84" s="21"/>
      <c r="I84" s="21"/>
    </row>
    <row r="85" customFormat="false" ht="15" hidden="false" customHeight="false" outlineLevel="0" collapsed="false">
      <c r="A85" s="25"/>
      <c r="B85" s="21"/>
      <c r="C85" s="21"/>
      <c r="D85" s="26" t="str">
        <f aca="false">IF(C85="","",IFERROR(INDEX('Cadastro Mestre'!$C$5:$C$504,MATCH(C85,'Cadastro Mestre'!$A$5:$A$504,0)),"código não encontrado"))</f>
        <v/>
      </c>
      <c r="E85" s="24" t="str">
        <f aca="false">IF(C85="","",IFERROR(INDEX('Cadastro Mestre'!$Q$5:$Q$504,MATCH(C85,'Cadastro Mestre'!$A$5:$A$504,0)),""))</f>
        <v/>
      </c>
      <c r="F85" s="21"/>
      <c r="G85" s="21"/>
      <c r="H85" s="21"/>
      <c r="I85" s="21"/>
    </row>
    <row r="86" customFormat="false" ht="15" hidden="false" customHeight="false" outlineLevel="0" collapsed="false">
      <c r="A86" s="25"/>
      <c r="B86" s="21"/>
      <c r="C86" s="21"/>
      <c r="D86" s="26" t="str">
        <f aca="false">IF(C86="","",IFERROR(INDEX('Cadastro Mestre'!$C$5:$C$504,MATCH(C86,'Cadastro Mestre'!$A$5:$A$504,0)),"código não encontrado"))</f>
        <v/>
      </c>
      <c r="E86" s="24" t="str">
        <f aca="false">IF(C86="","",IFERROR(INDEX('Cadastro Mestre'!$Q$5:$Q$504,MATCH(C86,'Cadastro Mestre'!$A$5:$A$504,0)),""))</f>
        <v/>
      </c>
      <c r="F86" s="21"/>
      <c r="G86" s="21"/>
      <c r="H86" s="21"/>
      <c r="I86" s="21"/>
    </row>
    <row r="87" customFormat="false" ht="15" hidden="false" customHeight="false" outlineLevel="0" collapsed="false">
      <c r="A87" s="25"/>
      <c r="B87" s="21"/>
      <c r="C87" s="21"/>
      <c r="D87" s="26" t="str">
        <f aca="false">IF(C87="","",IFERROR(INDEX('Cadastro Mestre'!$C$5:$C$504,MATCH(C87,'Cadastro Mestre'!$A$5:$A$504,0)),"código não encontrado"))</f>
        <v/>
      </c>
      <c r="E87" s="24" t="str">
        <f aca="false">IF(C87="","",IFERROR(INDEX('Cadastro Mestre'!$Q$5:$Q$504,MATCH(C87,'Cadastro Mestre'!$A$5:$A$504,0)),""))</f>
        <v/>
      </c>
      <c r="F87" s="21"/>
      <c r="G87" s="21"/>
      <c r="H87" s="21"/>
      <c r="I87" s="21"/>
    </row>
    <row r="88" customFormat="false" ht="15" hidden="false" customHeight="false" outlineLevel="0" collapsed="false">
      <c r="A88" s="25"/>
      <c r="B88" s="21"/>
      <c r="C88" s="21"/>
      <c r="D88" s="26" t="str">
        <f aca="false">IF(C88="","",IFERROR(INDEX('Cadastro Mestre'!$C$5:$C$504,MATCH(C88,'Cadastro Mestre'!$A$5:$A$504,0)),"código não encontrado"))</f>
        <v/>
      </c>
      <c r="E88" s="24" t="str">
        <f aca="false">IF(C88="","",IFERROR(INDEX('Cadastro Mestre'!$Q$5:$Q$504,MATCH(C88,'Cadastro Mestre'!$A$5:$A$504,0)),""))</f>
        <v/>
      </c>
      <c r="F88" s="21"/>
      <c r="G88" s="21"/>
      <c r="H88" s="21"/>
      <c r="I88" s="21"/>
    </row>
    <row r="89" customFormat="false" ht="15" hidden="false" customHeight="false" outlineLevel="0" collapsed="false">
      <c r="A89" s="25"/>
      <c r="B89" s="21"/>
      <c r="C89" s="21"/>
      <c r="D89" s="26" t="str">
        <f aca="false">IF(C89="","",IFERROR(INDEX('Cadastro Mestre'!$C$5:$C$504,MATCH(C89,'Cadastro Mestre'!$A$5:$A$504,0)),"código não encontrado"))</f>
        <v/>
      </c>
      <c r="E89" s="24" t="str">
        <f aca="false">IF(C89="","",IFERROR(INDEX('Cadastro Mestre'!$Q$5:$Q$504,MATCH(C89,'Cadastro Mestre'!$A$5:$A$504,0)),""))</f>
        <v/>
      </c>
      <c r="F89" s="21"/>
      <c r="G89" s="21"/>
      <c r="H89" s="21"/>
      <c r="I89" s="21"/>
    </row>
    <row r="90" customFormat="false" ht="15" hidden="false" customHeight="false" outlineLevel="0" collapsed="false">
      <c r="A90" s="25"/>
      <c r="B90" s="21"/>
      <c r="C90" s="21"/>
      <c r="D90" s="26" t="str">
        <f aca="false">IF(C90="","",IFERROR(INDEX('Cadastro Mestre'!$C$5:$C$504,MATCH(C90,'Cadastro Mestre'!$A$5:$A$504,0)),"código não encontrado"))</f>
        <v/>
      </c>
      <c r="E90" s="24" t="str">
        <f aca="false">IF(C90="","",IFERROR(INDEX('Cadastro Mestre'!$Q$5:$Q$504,MATCH(C90,'Cadastro Mestre'!$A$5:$A$504,0)),""))</f>
        <v/>
      </c>
      <c r="F90" s="21"/>
      <c r="G90" s="21"/>
      <c r="H90" s="21"/>
      <c r="I90" s="21"/>
    </row>
    <row r="91" customFormat="false" ht="15" hidden="false" customHeight="false" outlineLevel="0" collapsed="false">
      <c r="A91" s="25"/>
      <c r="B91" s="21"/>
      <c r="C91" s="21"/>
      <c r="D91" s="26" t="str">
        <f aca="false">IF(C91="","",IFERROR(INDEX('Cadastro Mestre'!$C$5:$C$504,MATCH(C91,'Cadastro Mestre'!$A$5:$A$504,0)),"código não encontrado"))</f>
        <v/>
      </c>
      <c r="E91" s="24" t="str">
        <f aca="false">IF(C91="","",IFERROR(INDEX('Cadastro Mestre'!$Q$5:$Q$504,MATCH(C91,'Cadastro Mestre'!$A$5:$A$504,0)),""))</f>
        <v/>
      </c>
      <c r="F91" s="21"/>
      <c r="G91" s="21"/>
      <c r="H91" s="21"/>
      <c r="I91" s="21"/>
    </row>
    <row r="92" customFormat="false" ht="15" hidden="false" customHeight="false" outlineLevel="0" collapsed="false">
      <c r="A92" s="25"/>
      <c r="B92" s="21"/>
      <c r="C92" s="21"/>
      <c r="D92" s="26" t="str">
        <f aca="false">IF(C92="","",IFERROR(INDEX('Cadastro Mestre'!$C$5:$C$504,MATCH(C92,'Cadastro Mestre'!$A$5:$A$504,0)),"código não encontrado"))</f>
        <v/>
      </c>
      <c r="E92" s="24" t="str">
        <f aca="false">IF(C92="","",IFERROR(INDEX('Cadastro Mestre'!$Q$5:$Q$504,MATCH(C92,'Cadastro Mestre'!$A$5:$A$504,0)),""))</f>
        <v/>
      </c>
      <c r="F92" s="21"/>
      <c r="G92" s="21"/>
      <c r="H92" s="21"/>
      <c r="I92" s="21"/>
    </row>
    <row r="93" customFormat="false" ht="15" hidden="false" customHeight="false" outlineLevel="0" collapsed="false">
      <c r="A93" s="25"/>
      <c r="B93" s="21"/>
      <c r="C93" s="21"/>
      <c r="D93" s="26" t="str">
        <f aca="false">IF(C93="","",IFERROR(INDEX('Cadastro Mestre'!$C$5:$C$504,MATCH(C93,'Cadastro Mestre'!$A$5:$A$504,0)),"código não encontrado"))</f>
        <v/>
      </c>
      <c r="E93" s="24" t="str">
        <f aca="false">IF(C93="","",IFERROR(INDEX('Cadastro Mestre'!$Q$5:$Q$504,MATCH(C93,'Cadastro Mestre'!$A$5:$A$504,0)),""))</f>
        <v/>
      </c>
      <c r="F93" s="21"/>
      <c r="G93" s="21"/>
      <c r="H93" s="21"/>
      <c r="I93" s="21"/>
    </row>
    <row r="94" customFormat="false" ht="15" hidden="false" customHeight="false" outlineLevel="0" collapsed="false">
      <c r="A94" s="25"/>
      <c r="B94" s="21"/>
      <c r="C94" s="21"/>
      <c r="D94" s="26" t="str">
        <f aca="false">IF(C94="","",IFERROR(INDEX('Cadastro Mestre'!$C$5:$C$504,MATCH(C94,'Cadastro Mestre'!$A$5:$A$504,0)),"código não encontrado"))</f>
        <v/>
      </c>
      <c r="E94" s="24" t="str">
        <f aca="false">IF(C94="","",IFERROR(INDEX('Cadastro Mestre'!$Q$5:$Q$504,MATCH(C94,'Cadastro Mestre'!$A$5:$A$504,0)),""))</f>
        <v/>
      </c>
      <c r="F94" s="21"/>
      <c r="G94" s="21"/>
      <c r="H94" s="21"/>
      <c r="I94" s="21"/>
    </row>
    <row r="95" customFormat="false" ht="15" hidden="false" customHeight="false" outlineLevel="0" collapsed="false">
      <c r="A95" s="25"/>
      <c r="B95" s="21"/>
      <c r="C95" s="21"/>
      <c r="D95" s="26" t="str">
        <f aca="false">IF(C95="","",IFERROR(INDEX('Cadastro Mestre'!$C$5:$C$504,MATCH(C95,'Cadastro Mestre'!$A$5:$A$504,0)),"código não encontrado"))</f>
        <v/>
      </c>
      <c r="E95" s="24" t="str">
        <f aca="false">IF(C95="","",IFERROR(INDEX('Cadastro Mestre'!$Q$5:$Q$504,MATCH(C95,'Cadastro Mestre'!$A$5:$A$504,0)),""))</f>
        <v/>
      </c>
      <c r="F95" s="21"/>
      <c r="G95" s="21"/>
      <c r="H95" s="21"/>
      <c r="I95" s="21"/>
    </row>
    <row r="96" customFormat="false" ht="15" hidden="false" customHeight="false" outlineLevel="0" collapsed="false">
      <c r="A96" s="25"/>
      <c r="B96" s="21"/>
      <c r="C96" s="21"/>
      <c r="D96" s="26" t="str">
        <f aca="false">IF(C96="","",IFERROR(INDEX('Cadastro Mestre'!$C$5:$C$504,MATCH(C96,'Cadastro Mestre'!$A$5:$A$504,0)),"código não encontrado"))</f>
        <v/>
      </c>
      <c r="E96" s="24" t="str">
        <f aca="false">IF(C96="","",IFERROR(INDEX('Cadastro Mestre'!$Q$5:$Q$504,MATCH(C96,'Cadastro Mestre'!$A$5:$A$504,0)),""))</f>
        <v/>
      </c>
      <c r="F96" s="21"/>
      <c r="G96" s="21"/>
      <c r="H96" s="21"/>
      <c r="I96" s="21"/>
    </row>
    <row r="97" customFormat="false" ht="15" hidden="false" customHeight="false" outlineLevel="0" collapsed="false">
      <c r="A97" s="25"/>
      <c r="B97" s="21"/>
      <c r="C97" s="21"/>
      <c r="D97" s="26" t="str">
        <f aca="false">IF(C97="","",IFERROR(INDEX('Cadastro Mestre'!$C$5:$C$504,MATCH(C97,'Cadastro Mestre'!$A$5:$A$504,0)),"código não encontrado"))</f>
        <v/>
      </c>
      <c r="E97" s="24" t="str">
        <f aca="false">IF(C97="","",IFERROR(INDEX('Cadastro Mestre'!$Q$5:$Q$504,MATCH(C97,'Cadastro Mestre'!$A$5:$A$504,0)),""))</f>
        <v/>
      </c>
      <c r="F97" s="21"/>
      <c r="G97" s="21"/>
      <c r="H97" s="21"/>
      <c r="I97" s="21"/>
    </row>
    <row r="98" customFormat="false" ht="15" hidden="false" customHeight="false" outlineLevel="0" collapsed="false">
      <c r="A98" s="25"/>
      <c r="B98" s="21"/>
      <c r="C98" s="21"/>
      <c r="D98" s="26" t="str">
        <f aca="false">IF(C98="","",IFERROR(INDEX('Cadastro Mestre'!$C$5:$C$504,MATCH(C98,'Cadastro Mestre'!$A$5:$A$504,0)),"código não encontrado"))</f>
        <v/>
      </c>
      <c r="E98" s="24" t="str">
        <f aca="false">IF(C98="","",IFERROR(INDEX('Cadastro Mestre'!$Q$5:$Q$504,MATCH(C98,'Cadastro Mestre'!$A$5:$A$504,0)),""))</f>
        <v/>
      </c>
      <c r="F98" s="21"/>
      <c r="G98" s="21"/>
      <c r="H98" s="21"/>
      <c r="I98" s="21"/>
    </row>
    <row r="99" customFormat="false" ht="15" hidden="false" customHeight="false" outlineLevel="0" collapsed="false">
      <c r="A99" s="25"/>
      <c r="B99" s="21"/>
      <c r="C99" s="21"/>
      <c r="D99" s="26" t="str">
        <f aca="false">IF(C99="","",IFERROR(INDEX('Cadastro Mestre'!$C$5:$C$504,MATCH(C99,'Cadastro Mestre'!$A$5:$A$504,0)),"código não encontrado"))</f>
        <v/>
      </c>
      <c r="E99" s="24" t="str">
        <f aca="false">IF(C99="","",IFERROR(INDEX('Cadastro Mestre'!$Q$5:$Q$504,MATCH(C99,'Cadastro Mestre'!$A$5:$A$504,0)),""))</f>
        <v/>
      </c>
      <c r="F99" s="21"/>
      <c r="G99" s="21"/>
      <c r="H99" s="21"/>
      <c r="I99" s="21"/>
    </row>
    <row r="100" customFormat="false" ht="15" hidden="false" customHeight="false" outlineLevel="0" collapsed="false">
      <c r="A100" s="25"/>
      <c r="B100" s="21"/>
      <c r="C100" s="21"/>
      <c r="D100" s="26" t="str">
        <f aca="false">IF(C100="","",IFERROR(INDEX('Cadastro Mestre'!$C$5:$C$504,MATCH(C100,'Cadastro Mestre'!$A$5:$A$504,0)),"código não encontrado"))</f>
        <v/>
      </c>
      <c r="E100" s="24" t="str">
        <f aca="false">IF(C100="","",IFERROR(INDEX('Cadastro Mestre'!$Q$5:$Q$504,MATCH(C100,'Cadastro Mestre'!$A$5:$A$504,0)),""))</f>
        <v/>
      </c>
      <c r="F100" s="21"/>
      <c r="G100" s="21"/>
      <c r="H100" s="21"/>
      <c r="I100" s="21"/>
    </row>
    <row r="101" customFormat="false" ht="15" hidden="false" customHeight="false" outlineLevel="0" collapsed="false">
      <c r="A101" s="25"/>
      <c r="B101" s="21"/>
      <c r="C101" s="21"/>
      <c r="D101" s="26" t="str">
        <f aca="false">IF(C101="","",IFERROR(INDEX('Cadastro Mestre'!$C$5:$C$504,MATCH(C101,'Cadastro Mestre'!$A$5:$A$504,0)),"código não encontrado"))</f>
        <v/>
      </c>
      <c r="E101" s="24" t="str">
        <f aca="false">IF(C101="","",IFERROR(INDEX('Cadastro Mestre'!$Q$5:$Q$504,MATCH(C101,'Cadastro Mestre'!$A$5:$A$504,0)),""))</f>
        <v/>
      </c>
      <c r="F101" s="21"/>
      <c r="G101" s="21"/>
      <c r="H101" s="21"/>
      <c r="I101" s="21"/>
    </row>
    <row r="102" customFormat="false" ht="15" hidden="false" customHeight="false" outlineLevel="0" collapsed="false">
      <c r="A102" s="25"/>
      <c r="B102" s="21"/>
      <c r="C102" s="21"/>
      <c r="D102" s="26" t="str">
        <f aca="false">IF(C102="","",IFERROR(INDEX('Cadastro Mestre'!$C$5:$C$504,MATCH(C102,'Cadastro Mestre'!$A$5:$A$504,0)),"código não encontrado"))</f>
        <v/>
      </c>
      <c r="E102" s="24" t="str">
        <f aca="false">IF(C102="","",IFERROR(INDEX('Cadastro Mestre'!$Q$5:$Q$504,MATCH(C102,'Cadastro Mestre'!$A$5:$A$504,0)),""))</f>
        <v/>
      </c>
      <c r="F102" s="21"/>
      <c r="G102" s="21"/>
      <c r="H102" s="21"/>
      <c r="I102" s="21"/>
    </row>
    <row r="103" customFormat="false" ht="15" hidden="false" customHeight="false" outlineLevel="0" collapsed="false">
      <c r="A103" s="25"/>
      <c r="B103" s="21"/>
      <c r="C103" s="21"/>
      <c r="D103" s="26" t="str">
        <f aca="false">IF(C103="","",IFERROR(INDEX('Cadastro Mestre'!$C$5:$C$504,MATCH(C103,'Cadastro Mestre'!$A$5:$A$504,0)),"código não encontrado"))</f>
        <v/>
      </c>
      <c r="E103" s="24" t="str">
        <f aca="false">IF(C103="","",IFERROR(INDEX('Cadastro Mestre'!$Q$5:$Q$504,MATCH(C103,'Cadastro Mestre'!$A$5:$A$504,0)),""))</f>
        <v/>
      </c>
      <c r="F103" s="21"/>
      <c r="G103" s="21"/>
      <c r="H103" s="21"/>
      <c r="I103" s="21"/>
    </row>
    <row r="104" customFormat="false" ht="15" hidden="false" customHeight="false" outlineLevel="0" collapsed="false">
      <c r="A104" s="25"/>
      <c r="B104" s="21"/>
      <c r="C104" s="21"/>
      <c r="D104" s="26" t="str">
        <f aca="false">IF(C104="","",IFERROR(INDEX('Cadastro Mestre'!$C$5:$C$504,MATCH(C104,'Cadastro Mestre'!$A$5:$A$504,0)),"código não encontrado"))</f>
        <v/>
      </c>
      <c r="E104" s="24" t="str">
        <f aca="false">IF(C104="","",IFERROR(INDEX('Cadastro Mestre'!$Q$5:$Q$504,MATCH(C104,'Cadastro Mestre'!$A$5:$A$504,0)),""))</f>
        <v/>
      </c>
      <c r="F104" s="21"/>
      <c r="G104" s="21"/>
      <c r="H104" s="21"/>
      <c r="I104" s="21"/>
    </row>
    <row r="105" customFormat="false" ht="15" hidden="false" customHeight="false" outlineLevel="0" collapsed="false">
      <c r="A105" s="25"/>
      <c r="B105" s="21"/>
      <c r="C105" s="21"/>
      <c r="D105" s="26" t="str">
        <f aca="false">IF(C105="","",IFERROR(INDEX('Cadastro Mestre'!$C$5:$C$504,MATCH(C105,'Cadastro Mestre'!$A$5:$A$504,0)),"código não encontrado"))</f>
        <v/>
      </c>
      <c r="E105" s="24" t="str">
        <f aca="false">IF(C105="","",IFERROR(INDEX('Cadastro Mestre'!$Q$5:$Q$504,MATCH(C105,'Cadastro Mestre'!$A$5:$A$504,0)),""))</f>
        <v/>
      </c>
      <c r="F105" s="21"/>
      <c r="G105" s="21"/>
      <c r="H105" s="21"/>
      <c r="I105" s="21"/>
    </row>
    <row r="106" customFormat="false" ht="15" hidden="false" customHeight="false" outlineLevel="0" collapsed="false">
      <c r="A106" s="25"/>
      <c r="B106" s="21"/>
      <c r="C106" s="21"/>
      <c r="D106" s="26" t="str">
        <f aca="false">IF(C106="","",IFERROR(INDEX('Cadastro Mestre'!$C$5:$C$504,MATCH(C106,'Cadastro Mestre'!$A$5:$A$504,0)),"código não encontrado"))</f>
        <v/>
      </c>
      <c r="E106" s="24" t="str">
        <f aca="false">IF(C106="","",IFERROR(INDEX('Cadastro Mestre'!$Q$5:$Q$504,MATCH(C106,'Cadastro Mestre'!$A$5:$A$504,0)),""))</f>
        <v/>
      </c>
      <c r="F106" s="21"/>
      <c r="G106" s="21"/>
      <c r="H106" s="21"/>
      <c r="I106" s="21"/>
    </row>
    <row r="107" customFormat="false" ht="15" hidden="false" customHeight="false" outlineLevel="0" collapsed="false">
      <c r="A107" s="25"/>
      <c r="B107" s="21"/>
      <c r="C107" s="21"/>
      <c r="D107" s="26" t="str">
        <f aca="false">IF(C107="","",IFERROR(INDEX('Cadastro Mestre'!$C$5:$C$504,MATCH(C107,'Cadastro Mestre'!$A$5:$A$504,0)),"código não encontrado"))</f>
        <v/>
      </c>
      <c r="E107" s="24" t="str">
        <f aca="false">IF(C107="","",IFERROR(INDEX('Cadastro Mestre'!$Q$5:$Q$504,MATCH(C107,'Cadastro Mestre'!$A$5:$A$504,0)),""))</f>
        <v/>
      </c>
      <c r="F107" s="21"/>
      <c r="G107" s="21"/>
      <c r="H107" s="21"/>
      <c r="I107" s="21"/>
    </row>
    <row r="108" customFormat="false" ht="15" hidden="false" customHeight="false" outlineLevel="0" collapsed="false">
      <c r="A108" s="25"/>
      <c r="B108" s="21"/>
      <c r="C108" s="21"/>
      <c r="D108" s="26" t="str">
        <f aca="false">IF(C108="","",IFERROR(INDEX('Cadastro Mestre'!$C$5:$C$504,MATCH(C108,'Cadastro Mestre'!$A$5:$A$504,0)),"código não encontrado"))</f>
        <v/>
      </c>
      <c r="E108" s="24" t="str">
        <f aca="false">IF(C108="","",IFERROR(INDEX('Cadastro Mestre'!$Q$5:$Q$504,MATCH(C108,'Cadastro Mestre'!$A$5:$A$504,0)),""))</f>
        <v/>
      </c>
      <c r="F108" s="21"/>
      <c r="G108" s="21"/>
      <c r="H108" s="21"/>
      <c r="I108" s="21"/>
    </row>
    <row r="109" customFormat="false" ht="15" hidden="false" customHeight="false" outlineLevel="0" collapsed="false">
      <c r="A109" s="25"/>
      <c r="B109" s="21"/>
      <c r="C109" s="21"/>
      <c r="D109" s="26" t="str">
        <f aca="false">IF(C109="","",IFERROR(INDEX('Cadastro Mestre'!$C$5:$C$504,MATCH(C109,'Cadastro Mestre'!$A$5:$A$504,0)),"código não encontrado"))</f>
        <v/>
      </c>
      <c r="E109" s="24" t="str">
        <f aca="false">IF(C109="","",IFERROR(INDEX('Cadastro Mestre'!$Q$5:$Q$504,MATCH(C109,'Cadastro Mestre'!$A$5:$A$504,0)),""))</f>
        <v/>
      </c>
      <c r="F109" s="21"/>
      <c r="G109" s="21"/>
      <c r="H109" s="21"/>
      <c r="I109" s="21"/>
    </row>
    <row r="110" customFormat="false" ht="15" hidden="false" customHeight="false" outlineLevel="0" collapsed="false">
      <c r="A110" s="25"/>
      <c r="B110" s="21"/>
      <c r="C110" s="21"/>
      <c r="D110" s="26" t="str">
        <f aca="false">IF(C110="","",IFERROR(INDEX('Cadastro Mestre'!$C$5:$C$504,MATCH(C110,'Cadastro Mestre'!$A$5:$A$504,0)),"código não encontrado"))</f>
        <v/>
      </c>
      <c r="E110" s="24" t="str">
        <f aca="false">IF(C110="","",IFERROR(INDEX('Cadastro Mestre'!$Q$5:$Q$504,MATCH(C110,'Cadastro Mestre'!$A$5:$A$504,0)),""))</f>
        <v/>
      </c>
      <c r="F110" s="21"/>
      <c r="G110" s="21"/>
      <c r="H110" s="21"/>
      <c r="I110" s="21"/>
    </row>
    <row r="111" customFormat="false" ht="15" hidden="false" customHeight="false" outlineLevel="0" collapsed="false">
      <c r="A111" s="25"/>
      <c r="B111" s="21"/>
      <c r="C111" s="21"/>
      <c r="D111" s="26" t="str">
        <f aca="false">IF(C111="","",IFERROR(INDEX('Cadastro Mestre'!$C$5:$C$504,MATCH(C111,'Cadastro Mestre'!$A$5:$A$504,0)),"código não encontrado"))</f>
        <v/>
      </c>
      <c r="E111" s="24" t="str">
        <f aca="false">IF(C111="","",IFERROR(INDEX('Cadastro Mestre'!$Q$5:$Q$504,MATCH(C111,'Cadastro Mestre'!$A$5:$A$504,0)),""))</f>
        <v/>
      </c>
      <c r="F111" s="21"/>
      <c r="G111" s="21"/>
      <c r="H111" s="21"/>
      <c r="I111" s="21"/>
    </row>
    <row r="112" customFormat="false" ht="15" hidden="false" customHeight="false" outlineLevel="0" collapsed="false">
      <c r="A112" s="25"/>
      <c r="B112" s="21"/>
      <c r="C112" s="21"/>
      <c r="D112" s="26" t="str">
        <f aca="false">IF(C112="","",IFERROR(INDEX('Cadastro Mestre'!$C$5:$C$504,MATCH(C112,'Cadastro Mestre'!$A$5:$A$504,0)),"código não encontrado"))</f>
        <v/>
      </c>
      <c r="E112" s="24" t="str">
        <f aca="false">IF(C112="","",IFERROR(INDEX('Cadastro Mestre'!$Q$5:$Q$504,MATCH(C112,'Cadastro Mestre'!$A$5:$A$504,0)),""))</f>
        <v/>
      </c>
      <c r="F112" s="21"/>
      <c r="G112" s="21"/>
      <c r="H112" s="21"/>
      <c r="I112" s="21"/>
    </row>
    <row r="113" customFormat="false" ht="15" hidden="false" customHeight="false" outlineLevel="0" collapsed="false">
      <c r="A113" s="25"/>
      <c r="B113" s="21"/>
      <c r="C113" s="21"/>
      <c r="D113" s="26" t="str">
        <f aca="false">IF(C113="","",IFERROR(INDEX('Cadastro Mestre'!$C$5:$C$504,MATCH(C113,'Cadastro Mestre'!$A$5:$A$504,0)),"código não encontrado"))</f>
        <v/>
      </c>
      <c r="E113" s="24" t="str">
        <f aca="false">IF(C113="","",IFERROR(INDEX('Cadastro Mestre'!$Q$5:$Q$504,MATCH(C113,'Cadastro Mestre'!$A$5:$A$504,0)),""))</f>
        <v/>
      </c>
      <c r="F113" s="21"/>
      <c r="G113" s="21"/>
      <c r="H113" s="21"/>
      <c r="I113" s="21"/>
    </row>
    <row r="114" customFormat="false" ht="15" hidden="false" customHeight="false" outlineLevel="0" collapsed="false">
      <c r="A114" s="25"/>
      <c r="B114" s="21"/>
      <c r="C114" s="21"/>
      <c r="D114" s="26" t="str">
        <f aca="false">IF(C114="","",IFERROR(INDEX('Cadastro Mestre'!$C$5:$C$504,MATCH(C114,'Cadastro Mestre'!$A$5:$A$504,0)),"código não encontrado"))</f>
        <v/>
      </c>
      <c r="E114" s="24" t="str">
        <f aca="false">IF(C114="","",IFERROR(INDEX('Cadastro Mestre'!$Q$5:$Q$504,MATCH(C114,'Cadastro Mestre'!$A$5:$A$504,0)),""))</f>
        <v/>
      </c>
      <c r="F114" s="21"/>
      <c r="G114" s="21"/>
      <c r="H114" s="21"/>
      <c r="I114" s="21"/>
    </row>
    <row r="115" customFormat="false" ht="15" hidden="false" customHeight="false" outlineLevel="0" collapsed="false">
      <c r="A115" s="25"/>
      <c r="B115" s="21"/>
      <c r="C115" s="21"/>
      <c r="D115" s="26" t="str">
        <f aca="false">IF(C115="","",IFERROR(INDEX('Cadastro Mestre'!$C$5:$C$504,MATCH(C115,'Cadastro Mestre'!$A$5:$A$504,0)),"código não encontrado"))</f>
        <v/>
      </c>
      <c r="E115" s="24" t="str">
        <f aca="false">IF(C115="","",IFERROR(INDEX('Cadastro Mestre'!$Q$5:$Q$504,MATCH(C115,'Cadastro Mestre'!$A$5:$A$504,0)),""))</f>
        <v/>
      </c>
      <c r="F115" s="21"/>
      <c r="G115" s="21"/>
      <c r="H115" s="21"/>
      <c r="I115" s="21"/>
    </row>
    <row r="116" customFormat="false" ht="15" hidden="false" customHeight="false" outlineLevel="0" collapsed="false">
      <c r="A116" s="25"/>
      <c r="B116" s="21"/>
      <c r="C116" s="21"/>
      <c r="D116" s="26" t="str">
        <f aca="false">IF(C116="","",IFERROR(INDEX('Cadastro Mestre'!$C$5:$C$504,MATCH(C116,'Cadastro Mestre'!$A$5:$A$504,0)),"código não encontrado"))</f>
        <v/>
      </c>
      <c r="E116" s="24" t="str">
        <f aca="false">IF(C116="","",IFERROR(INDEX('Cadastro Mestre'!$Q$5:$Q$504,MATCH(C116,'Cadastro Mestre'!$A$5:$A$504,0)),""))</f>
        <v/>
      </c>
      <c r="F116" s="21"/>
      <c r="G116" s="21"/>
      <c r="H116" s="21"/>
      <c r="I116" s="21"/>
    </row>
    <row r="117" customFormat="false" ht="15" hidden="false" customHeight="false" outlineLevel="0" collapsed="false">
      <c r="A117" s="25"/>
      <c r="B117" s="21"/>
      <c r="C117" s="21"/>
      <c r="D117" s="26" t="str">
        <f aca="false">IF(C117="","",IFERROR(INDEX('Cadastro Mestre'!$C$5:$C$504,MATCH(C117,'Cadastro Mestre'!$A$5:$A$504,0)),"código não encontrado"))</f>
        <v/>
      </c>
      <c r="E117" s="24" t="str">
        <f aca="false">IF(C117="","",IFERROR(INDEX('Cadastro Mestre'!$Q$5:$Q$504,MATCH(C117,'Cadastro Mestre'!$A$5:$A$504,0)),""))</f>
        <v/>
      </c>
      <c r="F117" s="21"/>
      <c r="G117" s="21"/>
      <c r="H117" s="21"/>
      <c r="I117" s="21"/>
    </row>
    <row r="118" customFormat="false" ht="15" hidden="false" customHeight="false" outlineLevel="0" collapsed="false">
      <c r="A118" s="25"/>
      <c r="B118" s="21"/>
      <c r="C118" s="21"/>
      <c r="D118" s="26" t="str">
        <f aca="false">IF(C118="","",IFERROR(INDEX('Cadastro Mestre'!$C$5:$C$504,MATCH(C118,'Cadastro Mestre'!$A$5:$A$504,0)),"código não encontrado"))</f>
        <v/>
      </c>
      <c r="E118" s="24" t="str">
        <f aca="false">IF(C118="","",IFERROR(INDEX('Cadastro Mestre'!$Q$5:$Q$504,MATCH(C118,'Cadastro Mestre'!$A$5:$A$504,0)),""))</f>
        <v/>
      </c>
      <c r="F118" s="21"/>
      <c r="G118" s="21"/>
      <c r="H118" s="21"/>
      <c r="I118" s="21"/>
    </row>
    <row r="119" customFormat="false" ht="15" hidden="false" customHeight="false" outlineLevel="0" collapsed="false">
      <c r="A119" s="25"/>
      <c r="B119" s="21"/>
      <c r="C119" s="21"/>
      <c r="D119" s="26" t="str">
        <f aca="false">IF(C119="","",IFERROR(INDEX('Cadastro Mestre'!$C$5:$C$504,MATCH(C119,'Cadastro Mestre'!$A$5:$A$504,0)),"código não encontrado"))</f>
        <v/>
      </c>
      <c r="E119" s="24" t="str">
        <f aca="false">IF(C119="","",IFERROR(INDEX('Cadastro Mestre'!$Q$5:$Q$504,MATCH(C119,'Cadastro Mestre'!$A$5:$A$504,0)),""))</f>
        <v/>
      </c>
      <c r="F119" s="21"/>
      <c r="G119" s="21"/>
      <c r="H119" s="21"/>
      <c r="I119" s="21"/>
    </row>
    <row r="120" customFormat="false" ht="15" hidden="false" customHeight="false" outlineLevel="0" collapsed="false">
      <c r="A120" s="25"/>
      <c r="B120" s="21"/>
      <c r="C120" s="21"/>
      <c r="D120" s="26" t="str">
        <f aca="false">IF(C120="","",IFERROR(INDEX('Cadastro Mestre'!$C$5:$C$504,MATCH(C120,'Cadastro Mestre'!$A$5:$A$504,0)),"código não encontrado"))</f>
        <v/>
      </c>
      <c r="E120" s="24" t="str">
        <f aca="false">IF(C120="","",IFERROR(INDEX('Cadastro Mestre'!$Q$5:$Q$504,MATCH(C120,'Cadastro Mestre'!$A$5:$A$504,0)),""))</f>
        <v/>
      </c>
      <c r="F120" s="21"/>
      <c r="G120" s="21"/>
      <c r="H120" s="21"/>
      <c r="I120" s="21"/>
    </row>
    <row r="121" customFormat="false" ht="15" hidden="false" customHeight="false" outlineLevel="0" collapsed="false">
      <c r="A121" s="25"/>
      <c r="B121" s="21"/>
      <c r="C121" s="21"/>
      <c r="D121" s="26" t="str">
        <f aca="false">IF(C121="","",IFERROR(INDEX('Cadastro Mestre'!$C$5:$C$504,MATCH(C121,'Cadastro Mestre'!$A$5:$A$504,0)),"código não encontrado"))</f>
        <v/>
      </c>
      <c r="E121" s="24" t="str">
        <f aca="false">IF(C121="","",IFERROR(INDEX('Cadastro Mestre'!$Q$5:$Q$504,MATCH(C121,'Cadastro Mestre'!$A$5:$A$504,0)),""))</f>
        <v/>
      </c>
      <c r="F121" s="21"/>
      <c r="G121" s="21"/>
      <c r="H121" s="21"/>
      <c r="I121" s="21"/>
    </row>
    <row r="122" customFormat="false" ht="15" hidden="false" customHeight="false" outlineLevel="0" collapsed="false">
      <c r="A122" s="25"/>
      <c r="B122" s="21"/>
      <c r="C122" s="21"/>
      <c r="D122" s="26" t="str">
        <f aca="false">IF(C122="","",IFERROR(INDEX('Cadastro Mestre'!$C$5:$C$504,MATCH(C122,'Cadastro Mestre'!$A$5:$A$504,0)),"código não encontrado"))</f>
        <v/>
      </c>
      <c r="E122" s="24" t="str">
        <f aca="false">IF(C122="","",IFERROR(INDEX('Cadastro Mestre'!$Q$5:$Q$504,MATCH(C122,'Cadastro Mestre'!$A$5:$A$504,0)),""))</f>
        <v/>
      </c>
      <c r="F122" s="21"/>
      <c r="G122" s="21"/>
      <c r="H122" s="21"/>
      <c r="I122" s="21"/>
    </row>
    <row r="123" customFormat="false" ht="15" hidden="false" customHeight="false" outlineLevel="0" collapsed="false">
      <c r="A123" s="25"/>
      <c r="B123" s="21"/>
      <c r="C123" s="21"/>
      <c r="D123" s="26" t="str">
        <f aca="false">IF(C123="","",IFERROR(INDEX('Cadastro Mestre'!$C$5:$C$504,MATCH(C123,'Cadastro Mestre'!$A$5:$A$504,0)),"código não encontrado"))</f>
        <v/>
      </c>
      <c r="E123" s="24" t="str">
        <f aca="false">IF(C123="","",IFERROR(INDEX('Cadastro Mestre'!$Q$5:$Q$504,MATCH(C123,'Cadastro Mestre'!$A$5:$A$504,0)),""))</f>
        <v/>
      </c>
      <c r="F123" s="21"/>
      <c r="G123" s="21"/>
      <c r="H123" s="21"/>
      <c r="I123" s="21"/>
    </row>
    <row r="124" customFormat="false" ht="15" hidden="false" customHeight="false" outlineLevel="0" collapsed="false">
      <c r="A124" s="25"/>
      <c r="B124" s="21"/>
      <c r="C124" s="21"/>
      <c r="D124" s="26" t="str">
        <f aca="false">IF(C124="","",IFERROR(INDEX('Cadastro Mestre'!$C$5:$C$504,MATCH(C124,'Cadastro Mestre'!$A$5:$A$504,0)),"código não encontrado"))</f>
        <v/>
      </c>
      <c r="E124" s="24" t="str">
        <f aca="false">IF(C124="","",IFERROR(INDEX('Cadastro Mestre'!$Q$5:$Q$504,MATCH(C124,'Cadastro Mestre'!$A$5:$A$504,0)),""))</f>
        <v/>
      </c>
      <c r="F124" s="21"/>
      <c r="G124" s="21"/>
      <c r="H124" s="21"/>
      <c r="I124" s="21"/>
    </row>
    <row r="125" customFormat="false" ht="15" hidden="false" customHeight="false" outlineLevel="0" collapsed="false">
      <c r="A125" s="25"/>
      <c r="B125" s="21"/>
      <c r="C125" s="21"/>
      <c r="D125" s="26" t="str">
        <f aca="false">IF(C125="","",IFERROR(INDEX('Cadastro Mestre'!$C$5:$C$504,MATCH(C125,'Cadastro Mestre'!$A$5:$A$504,0)),"código não encontrado"))</f>
        <v/>
      </c>
      <c r="E125" s="24" t="str">
        <f aca="false">IF(C125="","",IFERROR(INDEX('Cadastro Mestre'!$Q$5:$Q$504,MATCH(C125,'Cadastro Mestre'!$A$5:$A$504,0)),""))</f>
        <v/>
      </c>
      <c r="F125" s="21"/>
      <c r="G125" s="21"/>
      <c r="H125" s="21"/>
      <c r="I125" s="21"/>
    </row>
    <row r="126" customFormat="false" ht="15" hidden="false" customHeight="false" outlineLevel="0" collapsed="false">
      <c r="A126" s="25"/>
      <c r="B126" s="21"/>
      <c r="C126" s="21"/>
      <c r="D126" s="26" t="str">
        <f aca="false">IF(C126="","",IFERROR(INDEX('Cadastro Mestre'!$C$5:$C$504,MATCH(C126,'Cadastro Mestre'!$A$5:$A$504,0)),"código não encontrado"))</f>
        <v/>
      </c>
      <c r="E126" s="24" t="str">
        <f aca="false">IF(C126="","",IFERROR(INDEX('Cadastro Mestre'!$Q$5:$Q$504,MATCH(C126,'Cadastro Mestre'!$A$5:$A$504,0)),""))</f>
        <v/>
      </c>
      <c r="F126" s="21"/>
      <c r="G126" s="21"/>
      <c r="H126" s="21"/>
      <c r="I126" s="21"/>
    </row>
    <row r="127" customFormat="false" ht="15" hidden="false" customHeight="false" outlineLevel="0" collapsed="false">
      <c r="A127" s="25"/>
      <c r="B127" s="21"/>
      <c r="C127" s="21"/>
      <c r="D127" s="26" t="str">
        <f aca="false">IF(C127="","",IFERROR(INDEX('Cadastro Mestre'!$C$5:$C$504,MATCH(C127,'Cadastro Mestre'!$A$5:$A$504,0)),"código não encontrado"))</f>
        <v/>
      </c>
      <c r="E127" s="24" t="str">
        <f aca="false">IF(C127="","",IFERROR(INDEX('Cadastro Mestre'!$Q$5:$Q$504,MATCH(C127,'Cadastro Mestre'!$A$5:$A$504,0)),""))</f>
        <v/>
      </c>
      <c r="F127" s="21"/>
      <c r="G127" s="21"/>
      <c r="H127" s="21"/>
      <c r="I127" s="21"/>
    </row>
    <row r="128" customFormat="false" ht="15" hidden="false" customHeight="false" outlineLevel="0" collapsed="false">
      <c r="A128" s="25"/>
      <c r="B128" s="21"/>
      <c r="C128" s="21"/>
      <c r="D128" s="26" t="str">
        <f aca="false">IF(C128="","",IFERROR(INDEX('Cadastro Mestre'!$C$5:$C$504,MATCH(C128,'Cadastro Mestre'!$A$5:$A$504,0)),"código não encontrado"))</f>
        <v/>
      </c>
      <c r="E128" s="24" t="str">
        <f aca="false">IF(C128="","",IFERROR(INDEX('Cadastro Mestre'!$Q$5:$Q$504,MATCH(C128,'Cadastro Mestre'!$A$5:$A$504,0)),""))</f>
        <v/>
      </c>
      <c r="F128" s="21"/>
      <c r="G128" s="21"/>
      <c r="H128" s="21"/>
      <c r="I128" s="21"/>
    </row>
    <row r="129" customFormat="false" ht="15" hidden="false" customHeight="false" outlineLevel="0" collapsed="false">
      <c r="A129" s="25"/>
      <c r="B129" s="21"/>
      <c r="C129" s="21"/>
      <c r="D129" s="26" t="str">
        <f aca="false">IF(C129="","",IFERROR(INDEX('Cadastro Mestre'!$C$5:$C$504,MATCH(C129,'Cadastro Mestre'!$A$5:$A$504,0)),"código não encontrado"))</f>
        <v/>
      </c>
      <c r="E129" s="24" t="str">
        <f aca="false">IF(C129="","",IFERROR(INDEX('Cadastro Mestre'!$Q$5:$Q$504,MATCH(C129,'Cadastro Mestre'!$A$5:$A$504,0)),""))</f>
        <v/>
      </c>
      <c r="F129" s="21"/>
      <c r="G129" s="21"/>
      <c r="H129" s="21"/>
      <c r="I129" s="21"/>
    </row>
    <row r="130" customFormat="false" ht="15" hidden="false" customHeight="false" outlineLevel="0" collapsed="false">
      <c r="A130" s="25"/>
      <c r="B130" s="21"/>
      <c r="C130" s="21"/>
      <c r="D130" s="26" t="str">
        <f aca="false">IF(C130="","",IFERROR(INDEX('Cadastro Mestre'!$C$5:$C$504,MATCH(C130,'Cadastro Mestre'!$A$5:$A$504,0)),"código não encontrado"))</f>
        <v/>
      </c>
      <c r="E130" s="24" t="str">
        <f aca="false">IF(C130="","",IFERROR(INDEX('Cadastro Mestre'!$Q$5:$Q$504,MATCH(C130,'Cadastro Mestre'!$A$5:$A$504,0)),""))</f>
        <v/>
      </c>
      <c r="F130" s="21"/>
      <c r="G130" s="21"/>
      <c r="H130" s="21"/>
      <c r="I130" s="21"/>
    </row>
    <row r="131" customFormat="false" ht="15" hidden="false" customHeight="false" outlineLevel="0" collapsed="false">
      <c r="A131" s="25"/>
      <c r="B131" s="21"/>
      <c r="C131" s="21"/>
      <c r="D131" s="26" t="str">
        <f aca="false">IF(C131="","",IFERROR(INDEX('Cadastro Mestre'!$C$5:$C$504,MATCH(C131,'Cadastro Mestre'!$A$5:$A$504,0)),"código não encontrado"))</f>
        <v/>
      </c>
      <c r="E131" s="24" t="str">
        <f aca="false">IF(C131="","",IFERROR(INDEX('Cadastro Mestre'!$Q$5:$Q$504,MATCH(C131,'Cadastro Mestre'!$A$5:$A$504,0)),""))</f>
        <v/>
      </c>
      <c r="F131" s="21"/>
      <c r="G131" s="21"/>
      <c r="H131" s="21"/>
      <c r="I131" s="21"/>
    </row>
    <row r="132" customFormat="false" ht="15" hidden="false" customHeight="false" outlineLevel="0" collapsed="false">
      <c r="A132" s="25"/>
      <c r="B132" s="21"/>
      <c r="C132" s="21"/>
      <c r="D132" s="26" t="str">
        <f aca="false">IF(C132="","",IFERROR(INDEX('Cadastro Mestre'!$C$5:$C$504,MATCH(C132,'Cadastro Mestre'!$A$5:$A$504,0)),"código não encontrado"))</f>
        <v/>
      </c>
      <c r="E132" s="24" t="str">
        <f aca="false">IF(C132="","",IFERROR(INDEX('Cadastro Mestre'!$Q$5:$Q$504,MATCH(C132,'Cadastro Mestre'!$A$5:$A$504,0)),""))</f>
        <v/>
      </c>
      <c r="F132" s="21"/>
      <c r="G132" s="21"/>
      <c r="H132" s="21"/>
      <c r="I132" s="21"/>
    </row>
    <row r="133" customFormat="false" ht="15" hidden="false" customHeight="false" outlineLevel="0" collapsed="false">
      <c r="A133" s="25"/>
      <c r="B133" s="21"/>
      <c r="C133" s="21"/>
      <c r="D133" s="26" t="str">
        <f aca="false">IF(C133="","",IFERROR(INDEX('Cadastro Mestre'!$C$5:$C$504,MATCH(C133,'Cadastro Mestre'!$A$5:$A$504,0)),"código não encontrado"))</f>
        <v/>
      </c>
      <c r="E133" s="24" t="str">
        <f aca="false">IF(C133="","",IFERROR(INDEX('Cadastro Mestre'!$Q$5:$Q$504,MATCH(C133,'Cadastro Mestre'!$A$5:$A$504,0)),""))</f>
        <v/>
      </c>
      <c r="F133" s="21"/>
      <c r="G133" s="21"/>
      <c r="H133" s="21"/>
      <c r="I133" s="21"/>
    </row>
    <row r="134" customFormat="false" ht="15" hidden="false" customHeight="false" outlineLevel="0" collapsed="false">
      <c r="A134" s="25"/>
      <c r="B134" s="21"/>
      <c r="C134" s="21"/>
      <c r="D134" s="26" t="str">
        <f aca="false">IF(C134="","",IFERROR(INDEX('Cadastro Mestre'!$C$5:$C$504,MATCH(C134,'Cadastro Mestre'!$A$5:$A$504,0)),"código não encontrado"))</f>
        <v/>
      </c>
      <c r="E134" s="24" t="str">
        <f aca="false">IF(C134="","",IFERROR(INDEX('Cadastro Mestre'!$Q$5:$Q$504,MATCH(C134,'Cadastro Mestre'!$A$5:$A$504,0)),""))</f>
        <v/>
      </c>
      <c r="F134" s="21"/>
      <c r="G134" s="21"/>
      <c r="H134" s="21"/>
      <c r="I134" s="21"/>
    </row>
    <row r="135" customFormat="false" ht="15" hidden="false" customHeight="false" outlineLevel="0" collapsed="false">
      <c r="A135" s="25"/>
      <c r="B135" s="21"/>
      <c r="C135" s="21"/>
      <c r="D135" s="26" t="str">
        <f aca="false">IF(C135="","",IFERROR(INDEX('Cadastro Mestre'!$C$5:$C$504,MATCH(C135,'Cadastro Mestre'!$A$5:$A$504,0)),"código não encontrado"))</f>
        <v/>
      </c>
      <c r="E135" s="24" t="str">
        <f aca="false">IF(C135="","",IFERROR(INDEX('Cadastro Mestre'!$Q$5:$Q$504,MATCH(C135,'Cadastro Mestre'!$A$5:$A$504,0)),""))</f>
        <v/>
      </c>
      <c r="F135" s="21"/>
      <c r="G135" s="21"/>
      <c r="H135" s="21"/>
      <c r="I135" s="21"/>
    </row>
    <row r="136" customFormat="false" ht="15" hidden="false" customHeight="false" outlineLevel="0" collapsed="false">
      <c r="A136" s="25"/>
      <c r="B136" s="21"/>
      <c r="C136" s="21"/>
      <c r="D136" s="26" t="str">
        <f aca="false">IF(C136="","",IFERROR(INDEX('Cadastro Mestre'!$C$5:$C$504,MATCH(C136,'Cadastro Mestre'!$A$5:$A$504,0)),"código não encontrado"))</f>
        <v/>
      </c>
      <c r="E136" s="24" t="str">
        <f aca="false">IF(C136="","",IFERROR(INDEX('Cadastro Mestre'!$Q$5:$Q$504,MATCH(C136,'Cadastro Mestre'!$A$5:$A$504,0)),""))</f>
        <v/>
      </c>
      <c r="F136" s="21"/>
      <c r="G136" s="21"/>
      <c r="H136" s="21"/>
      <c r="I136" s="21"/>
    </row>
    <row r="137" customFormat="false" ht="15" hidden="false" customHeight="false" outlineLevel="0" collapsed="false">
      <c r="A137" s="25"/>
      <c r="B137" s="21"/>
      <c r="C137" s="21"/>
      <c r="D137" s="26" t="str">
        <f aca="false">IF(C137="","",IFERROR(INDEX('Cadastro Mestre'!$C$5:$C$504,MATCH(C137,'Cadastro Mestre'!$A$5:$A$504,0)),"código não encontrado"))</f>
        <v/>
      </c>
      <c r="E137" s="24" t="str">
        <f aca="false">IF(C137="","",IFERROR(INDEX('Cadastro Mestre'!$Q$5:$Q$504,MATCH(C137,'Cadastro Mestre'!$A$5:$A$504,0)),""))</f>
        <v/>
      </c>
      <c r="F137" s="21"/>
      <c r="G137" s="21"/>
      <c r="H137" s="21"/>
      <c r="I137" s="21"/>
    </row>
    <row r="138" customFormat="false" ht="15" hidden="false" customHeight="false" outlineLevel="0" collapsed="false">
      <c r="A138" s="25"/>
      <c r="B138" s="21"/>
      <c r="C138" s="21"/>
      <c r="D138" s="26" t="str">
        <f aca="false">IF(C138="","",IFERROR(INDEX('Cadastro Mestre'!$C$5:$C$504,MATCH(C138,'Cadastro Mestre'!$A$5:$A$504,0)),"código não encontrado"))</f>
        <v/>
      </c>
      <c r="E138" s="24" t="str">
        <f aca="false">IF(C138="","",IFERROR(INDEX('Cadastro Mestre'!$Q$5:$Q$504,MATCH(C138,'Cadastro Mestre'!$A$5:$A$504,0)),""))</f>
        <v/>
      </c>
      <c r="F138" s="21"/>
      <c r="G138" s="21"/>
      <c r="H138" s="21"/>
      <c r="I138" s="21"/>
    </row>
    <row r="139" customFormat="false" ht="15" hidden="false" customHeight="false" outlineLevel="0" collapsed="false">
      <c r="A139" s="25"/>
      <c r="B139" s="21"/>
      <c r="C139" s="21"/>
      <c r="D139" s="26" t="str">
        <f aca="false">IF(C139="","",IFERROR(INDEX('Cadastro Mestre'!$C$5:$C$504,MATCH(C139,'Cadastro Mestre'!$A$5:$A$504,0)),"código não encontrado"))</f>
        <v/>
      </c>
      <c r="E139" s="24" t="str">
        <f aca="false">IF(C139="","",IFERROR(INDEX('Cadastro Mestre'!$Q$5:$Q$504,MATCH(C139,'Cadastro Mestre'!$A$5:$A$504,0)),""))</f>
        <v/>
      </c>
      <c r="F139" s="21"/>
      <c r="G139" s="21"/>
      <c r="H139" s="21"/>
      <c r="I139" s="21"/>
    </row>
    <row r="140" customFormat="false" ht="15" hidden="false" customHeight="false" outlineLevel="0" collapsed="false">
      <c r="A140" s="25"/>
      <c r="B140" s="21"/>
      <c r="C140" s="21"/>
      <c r="D140" s="26" t="str">
        <f aca="false">IF(C140="","",IFERROR(INDEX('Cadastro Mestre'!$C$5:$C$504,MATCH(C140,'Cadastro Mestre'!$A$5:$A$504,0)),"código não encontrado"))</f>
        <v/>
      </c>
      <c r="E140" s="24" t="str">
        <f aca="false">IF(C140="","",IFERROR(INDEX('Cadastro Mestre'!$Q$5:$Q$504,MATCH(C140,'Cadastro Mestre'!$A$5:$A$504,0)),""))</f>
        <v/>
      </c>
      <c r="F140" s="21"/>
      <c r="G140" s="21"/>
      <c r="H140" s="21"/>
      <c r="I140" s="21"/>
    </row>
    <row r="141" customFormat="false" ht="15" hidden="false" customHeight="false" outlineLevel="0" collapsed="false">
      <c r="A141" s="25"/>
      <c r="B141" s="21"/>
      <c r="C141" s="21"/>
      <c r="D141" s="26" t="str">
        <f aca="false">IF(C141="","",IFERROR(INDEX('Cadastro Mestre'!$C$5:$C$504,MATCH(C141,'Cadastro Mestre'!$A$5:$A$504,0)),"código não encontrado"))</f>
        <v/>
      </c>
      <c r="E141" s="24" t="str">
        <f aca="false">IF(C141="","",IFERROR(INDEX('Cadastro Mestre'!$Q$5:$Q$504,MATCH(C141,'Cadastro Mestre'!$A$5:$A$504,0)),""))</f>
        <v/>
      </c>
      <c r="F141" s="21"/>
      <c r="G141" s="21"/>
      <c r="H141" s="21"/>
      <c r="I141" s="21"/>
    </row>
    <row r="142" customFormat="false" ht="15" hidden="false" customHeight="false" outlineLevel="0" collapsed="false">
      <c r="A142" s="25"/>
      <c r="B142" s="21"/>
      <c r="C142" s="21"/>
      <c r="D142" s="26" t="str">
        <f aca="false">IF(C142="","",IFERROR(INDEX('Cadastro Mestre'!$C$5:$C$504,MATCH(C142,'Cadastro Mestre'!$A$5:$A$504,0)),"código não encontrado"))</f>
        <v/>
      </c>
      <c r="E142" s="24" t="str">
        <f aca="false">IF(C142="","",IFERROR(INDEX('Cadastro Mestre'!$Q$5:$Q$504,MATCH(C142,'Cadastro Mestre'!$A$5:$A$504,0)),""))</f>
        <v/>
      </c>
      <c r="F142" s="21"/>
      <c r="G142" s="21"/>
      <c r="H142" s="21"/>
      <c r="I142" s="21"/>
    </row>
    <row r="143" customFormat="false" ht="15" hidden="false" customHeight="false" outlineLevel="0" collapsed="false">
      <c r="A143" s="25"/>
      <c r="B143" s="21"/>
      <c r="C143" s="21"/>
      <c r="D143" s="26" t="str">
        <f aca="false">IF(C143="","",IFERROR(INDEX('Cadastro Mestre'!$C$5:$C$504,MATCH(C143,'Cadastro Mestre'!$A$5:$A$504,0)),"código não encontrado"))</f>
        <v/>
      </c>
      <c r="E143" s="24" t="str">
        <f aca="false">IF(C143="","",IFERROR(INDEX('Cadastro Mestre'!$Q$5:$Q$504,MATCH(C143,'Cadastro Mestre'!$A$5:$A$504,0)),""))</f>
        <v/>
      </c>
      <c r="F143" s="21"/>
      <c r="G143" s="21"/>
      <c r="H143" s="21"/>
      <c r="I143" s="21"/>
    </row>
    <row r="144" customFormat="false" ht="15" hidden="false" customHeight="false" outlineLevel="0" collapsed="false">
      <c r="A144" s="25"/>
      <c r="B144" s="21"/>
      <c r="C144" s="21"/>
      <c r="D144" s="26" t="str">
        <f aca="false">IF(C144="","",IFERROR(INDEX('Cadastro Mestre'!$C$5:$C$504,MATCH(C144,'Cadastro Mestre'!$A$5:$A$504,0)),"código não encontrado"))</f>
        <v/>
      </c>
      <c r="E144" s="24" t="str">
        <f aca="false">IF(C144="","",IFERROR(INDEX('Cadastro Mestre'!$Q$5:$Q$504,MATCH(C144,'Cadastro Mestre'!$A$5:$A$504,0)),""))</f>
        <v/>
      </c>
      <c r="F144" s="21"/>
      <c r="G144" s="21"/>
      <c r="H144" s="21"/>
      <c r="I144" s="21"/>
    </row>
    <row r="145" customFormat="false" ht="15" hidden="false" customHeight="false" outlineLevel="0" collapsed="false">
      <c r="A145" s="25"/>
      <c r="B145" s="21"/>
      <c r="C145" s="21"/>
      <c r="D145" s="26" t="str">
        <f aca="false">IF(C145="","",IFERROR(INDEX('Cadastro Mestre'!$C$5:$C$504,MATCH(C145,'Cadastro Mestre'!$A$5:$A$504,0)),"código não encontrado"))</f>
        <v/>
      </c>
      <c r="E145" s="24" t="str">
        <f aca="false">IF(C145="","",IFERROR(INDEX('Cadastro Mestre'!$Q$5:$Q$504,MATCH(C145,'Cadastro Mestre'!$A$5:$A$504,0)),""))</f>
        <v/>
      </c>
      <c r="F145" s="21"/>
      <c r="G145" s="21"/>
      <c r="H145" s="21"/>
      <c r="I145" s="21"/>
    </row>
    <row r="146" customFormat="false" ht="15" hidden="false" customHeight="false" outlineLevel="0" collapsed="false">
      <c r="A146" s="25"/>
      <c r="B146" s="21"/>
      <c r="C146" s="21"/>
      <c r="D146" s="26" t="str">
        <f aca="false">IF(C146="","",IFERROR(INDEX('Cadastro Mestre'!$C$5:$C$504,MATCH(C146,'Cadastro Mestre'!$A$5:$A$504,0)),"código não encontrado"))</f>
        <v/>
      </c>
      <c r="E146" s="24" t="str">
        <f aca="false">IF(C146="","",IFERROR(INDEX('Cadastro Mestre'!$Q$5:$Q$504,MATCH(C146,'Cadastro Mestre'!$A$5:$A$504,0)),""))</f>
        <v/>
      </c>
      <c r="F146" s="21"/>
      <c r="G146" s="21"/>
      <c r="H146" s="21"/>
      <c r="I146" s="21"/>
    </row>
    <row r="147" customFormat="false" ht="15" hidden="false" customHeight="false" outlineLevel="0" collapsed="false">
      <c r="A147" s="25"/>
      <c r="B147" s="21"/>
      <c r="C147" s="21"/>
      <c r="D147" s="26" t="str">
        <f aca="false">IF(C147="","",IFERROR(INDEX('Cadastro Mestre'!$C$5:$C$504,MATCH(C147,'Cadastro Mestre'!$A$5:$A$504,0)),"código não encontrado"))</f>
        <v/>
      </c>
      <c r="E147" s="24" t="str">
        <f aca="false">IF(C147="","",IFERROR(INDEX('Cadastro Mestre'!$Q$5:$Q$504,MATCH(C147,'Cadastro Mestre'!$A$5:$A$504,0)),""))</f>
        <v/>
      </c>
      <c r="F147" s="21"/>
      <c r="G147" s="21"/>
      <c r="H147" s="21"/>
      <c r="I147" s="21"/>
    </row>
    <row r="148" customFormat="false" ht="15" hidden="false" customHeight="false" outlineLevel="0" collapsed="false">
      <c r="A148" s="25"/>
      <c r="B148" s="21"/>
      <c r="C148" s="21"/>
      <c r="D148" s="26" t="str">
        <f aca="false">IF(C148="","",IFERROR(INDEX('Cadastro Mestre'!$C$5:$C$504,MATCH(C148,'Cadastro Mestre'!$A$5:$A$504,0)),"código não encontrado"))</f>
        <v/>
      </c>
      <c r="E148" s="24" t="str">
        <f aca="false">IF(C148="","",IFERROR(INDEX('Cadastro Mestre'!$Q$5:$Q$504,MATCH(C148,'Cadastro Mestre'!$A$5:$A$504,0)),""))</f>
        <v/>
      </c>
      <c r="F148" s="21"/>
      <c r="G148" s="21"/>
      <c r="H148" s="21"/>
      <c r="I148" s="21"/>
    </row>
    <row r="149" customFormat="false" ht="15" hidden="false" customHeight="false" outlineLevel="0" collapsed="false">
      <c r="A149" s="25"/>
      <c r="B149" s="21"/>
      <c r="C149" s="21"/>
      <c r="D149" s="26" t="str">
        <f aca="false">IF(C149="","",IFERROR(INDEX('Cadastro Mestre'!$C$5:$C$504,MATCH(C149,'Cadastro Mestre'!$A$5:$A$504,0)),"código não encontrado"))</f>
        <v/>
      </c>
      <c r="E149" s="24" t="str">
        <f aca="false">IF(C149="","",IFERROR(INDEX('Cadastro Mestre'!$Q$5:$Q$504,MATCH(C149,'Cadastro Mestre'!$A$5:$A$504,0)),""))</f>
        <v/>
      </c>
      <c r="F149" s="21"/>
      <c r="G149" s="21"/>
      <c r="H149" s="21"/>
      <c r="I149" s="21"/>
    </row>
    <row r="150" customFormat="false" ht="15" hidden="false" customHeight="false" outlineLevel="0" collapsed="false">
      <c r="A150" s="25"/>
      <c r="B150" s="21"/>
      <c r="C150" s="21"/>
      <c r="D150" s="26" t="str">
        <f aca="false">IF(C150="","",IFERROR(INDEX('Cadastro Mestre'!$C$5:$C$504,MATCH(C150,'Cadastro Mestre'!$A$5:$A$504,0)),"código não encontrado"))</f>
        <v/>
      </c>
      <c r="E150" s="24" t="str">
        <f aca="false">IF(C150="","",IFERROR(INDEX('Cadastro Mestre'!$Q$5:$Q$504,MATCH(C150,'Cadastro Mestre'!$A$5:$A$504,0)),""))</f>
        <v/>
      </c>
      <c r="F150" s="21"/>
      <c r="G150" s="21"/>
      <c r="H150" s="21"/>
      <c r="I150" s="21"/>
    </row>
    <row r="151" customFormat="false" ht="15" hidden="false" customHeight="false" outlineLevel="0" collapsed="false">
      <c r="A151" s="25"/>
      <c r="B151" s="21"/>
      <c r="C151" s="21"/>
      <c r="D151" s="26" t="str">
        <f aca="false">IF(C151="","",IFERROR(INDEX('Cadastro Mestre'!$C$5:$C$504,MATCH(C151,'Cadastro Mestre'!$A$5:$A$504,0)),"código não encontrado"))</f>
        <v/>
      </c>
      <c r="E151" s="24" t="str">
        <f aca="false">IF(C151="","",IFERROR(INDEX('Cadastro Mestre'!$Q$5:$Q$504,MATCH(C151,'Cadastro Mestre'!$A$5:$A$504,0)),""))</f>
        <v/>
      </c>
      <c r="F151" s="21"/>
      <c r="G151" s="21"/>
      <c r="H151" s="21"/>
      <c r="I151" s="21"/>
    </row>
    <row r="152" customFormat="false" ht="15" hidden="false" customHeight="false" outlineLevel="0" collapsed="false">
      <c r="A152" s="25"/>
      <c r="B152" s="21"/>
      <c r="C152" s="21"/>
      <c r="D152" s="26" t="str">
        <f aca="false">IF(C152="","",IFERROR(INDEX('Cadastro Mestre'!$C$5:$C$504,MATCH(C152,'Cadastro Mestre'!$A$5:$A$504,0)),"código não encontrado"))</f>
        <v/>
      </c>
      <c r="E152" s="24" t="str">
        <f aca="false">IF(C152="","",IFERROR(INDEX('Cadastro Mestre'!$Q$5:$Q$504,MATCH(C152,'Cadastro Mestre'!$A$5:$A$504,0)),""))</f>
        <v/>
      </c>
      <c r="F152" s="21"/>
      <c r="G152" s="21"/>
      <c r="H152" s="21"/>
      <c r="I152" s="21"/>
    </row>
    <row r="153" customFormat="false" ht="15" hidden="false" customHeight="false" outlineLevel="0" collapsed="false">
      <c r="A153" s="25"/>
      <c r="B153" s="21"/>
      <c r="C153" s="21"/>
      <c r="D153" s="26" t="str">
        <f aca="false">IF(C153="","",IFERROR(INDEX('Cadastro Mestre'!$C$5:$C$504,MATCH(C153,'Cadastro Mestre'!$A$5:$A$504,0)),"código não encontrado"))</f>
        <v/>
      </c>
      <c r="E153" s="24" t="str">
        <f aca="false">IF(C153="","",IFERROR(INDEX('Cadastro Mestre'!$Q$5:$Q$504,MATCH(C153,'Cadastro Mestre'!$A$5:$A$504,0)),""))</f>
        <v/>
      </c>
      <c r="F153" s="21"/>
      <c r="G153" s="21"/>
      <c r="H153" s="21"/>
      <c r="I153" s="21"/>
    </row>
    <row r="154" customFormat="false" ht="15" hidden="false" customHeight="false" outlineLevel="0" collapsed="false">
      <c r="A154" s="25"/>
      <c r="B154" s="21"/>
      <c r="C154" s="21"/>
      <c r="D154" s="26" t="str">
        <f aca="false">IF(C154="","",IFERROR(INDEX('Cadastro Mestre'!$C$5:$C$504,MATCH(C154,'Cadastro Mestre'!$A$5:$A$504,0)),"código não encontrado"))</f>
        <v/>
      </c>
      <c r="E154" s="24" t="str">
        <f aca="false">IF(C154="","",IFERROR(INDEX('Cadastro Mestre'!$Q$5:$Q$504,MATCH(C154,'Cadastro Mestre'!$A$5:$A$504,0)),""))</f>
        <v/>
      </c>
      <c r="F154" s="21"/>
      <c r="G154" s="21"/>
      <c r="H154" s="21"/>
      <c r="I154" s="21"/>
    </row>
    <row r="155" customFormat="false" ht="15" hidden="false" customHeight="false" outlineLevel="0" collapsed="false">
      <c r="A155" s="25"/>
      <c r="B155" s="21"/>
      <c r="C155" s="21"/>
      <c r="D155" s="26" t="str">
        <f aca="false">IF(C155="","",IFERROR(INDEX('Cadastro Mestre'!$C$5:$C$504,MATCH(C155,'Cadastro Mestre'!$A$5:$A$504,0)),"código não encontrado"))</f>
        <v/>
      </c>
      <c r="E155" s="24" t="str">
        <f aca="false">IF(C155="","",IFERROR(INDEX('Cadastro Mestre'!$Q$5:$Q$504,MATCH(C155,'Cadastro Mestre'!$A$5:$A$504,0)),""))</f>
        <v/>
      </c>
      <c r="F155" s="21"/>
      <c r="G155" s="21"/>
      <c r="H155" s="21"/>
      <c r="I155" s="21"/>
    </row>
    <row r="156" customFormat="false" ht="15" hidden="false" customHeight="false" outlineLevel="0" collapsed="false">
      <c r="A156" s="25"/>
      <c r="B156" s="21"/>
      <c r="C156" s="21"/>
      <c r="D156" s="26" t="str">
        <f aca="false">IF(C156="","",IFERROR(INDEX('Cadastro Mestre'!$C$5:$C$504,MATCH(C156,'Cadastro Mestre'!$A$5:$A$504,0)),"código não encontrado"))</f>
        <v/>
      </c>
      <c r="E156" s="24" t="str">
        <f aca="false">IF(C156="","",IFERROR(INDEX('Cadastro Mestre'!$Q$5:$Q$504,MATCH(C156,'Cadastro Mestre'!$A$5:$A$504,0)),""))</f>
        <v/>
      </c>
      <c r="F156" s="21"/>
      <c r="G156" s="21"/>
      <c r="H156" s="21"/>
      <c r="I156" s="21"/>
    </row>
    <row r="157" customFormat="false" ht="15" hidden="false" customHeight="false" outlineLevel="0" collapsed="false">
      <c r="A157" s="25"/>
      <c r="B157" s="21"/>
      <c r="C157" s="21"/>
      <c r="D157" s="26" t="str">
        <f aca="false">IF(C157="","",IFERROR(INDEX('Cadastro Mestre'!$C$5:$C$504,MATCH(C157,'Cadastro Mestre'!$A$5:$A$504,0)),"código não encontrado"))</f>
        <v/>
      </c>
      <c r="E157" s="24" t="str">
        <f aca="false">IF(C157="","",IFERROR(INDEX('Cadastro Mestre'!$Q$5:$Q$504,MATCH(C157,'Cadastro Mestre'!$A$5:$A$504,0)),""))</f>
        <v/>
      </c>
      <c r="F157" s="21"/>
      <c r="G157" s="21"/>
      <c r="H157" s="21"/>
      <c r="I157" s="21"/>
    </row>
    <row r="158" customFormat="false" ht="15" hidden="false" customHeight="false" outlineLevel="0" collapsed="false">
      <c r="A158" s="25"/>
      <c r="B158" s="21"/>
      <c r="C158" s="21"/>
      <c r="D158" s="26" t="str">
        <f aca="false">IF(C158="","",IFERROR(INDEX('Cadastro Mestre'!$C$5:$C$504,MATCH(C158,'Cadastro Mestre'!$A$5:$A$504,0)),"código não encontrado"))</f>
        <v/>
      </c>
      <c r="E158" s="24" t="str">
        <f aca="false">IF(C158="","",IFERROR(INDEX('Cadastro Mestre'!$Q$5:$Q$504,MATCH(C158,'Cadastro Mestre'!$A$5:$A$504,0)),""))</f>
        <v/>
      </c>
      <c r="F158" s="21"/>
      <c r="G158" s="21"/>
      <c r="H158" s="21"/>
      <c r="I158" s="21"/>
    </row>
    <row r="159" customFormat="false" ht="15" hidden="false" customHeight="false" outlineLevel="0" collapsed="false">
      <c r="A159" s="25"/>
      <c r="B159" s="21"/>
      <c r="C159" s="21"/>
      <c r="D159" s="26" t="str">
        <f aca="false">IF(C159="","",IFERROR(INDEX('Cadastro Mestre'!$C$5:$C$504,MATCH(C159,'Cadastro Mestre'!$A$5:$A$504,0)),"código não encontrado"))</f>
        <v/>
      </c>
      <c r="E159" s="24" t="str">
        <f aca="false">IF(C159="","",IFERROR(INDEX('Cadastro Mestre'!$Q$5:$Q$504,MATCH(C159,'Cadastro Mestre'!$A$5:$A$504,0)),""))</f>
        <v/>
      </c>
      <c r="F159" s="21"/>
      <c r="G159" s="21"/>
      <c r="H159" s="21"/>
      <c r="I159" s="21"/>
    </row>
    <row r="160" customFormat="false" ht="15" hidden="false" customHeight="false" outlineLevel="0" collapsed="false">
      <c r="A160" s="25"/>
      <c r="B160" s="21"/>
      <c r="C160" s="21"/>
      <c r="D160" s="26" t="str">
        <f aca="false">IF(C160="","",IFERROR(INDEX('Cadastro Mestre'!$C$5:$C$504,MATCH(C160,'Cadastro Mestre'!$A$5:$A$504,0)),"código não encontrado"))</f>
        <v/>
      </c>
      <c r="E160" s="24" t="str">
        <f aca="false">IF(C160="","",IFERROR(INDEX('Cadastro Mestre'!$Q$5:$Q$504,MATCH(C160,'Cadastro Mestre'!$A$5:$A$504,0)),""))</f>
        <v/>
      </c>
      <c r="F160" s="21"/>
      <c r="G160" s="21"/>
      <c r="H160" s="21"/>
      <c r="I160" s="21"/>
    </row>
    <row r="161" customFormat="false" ht="15" hidden="false" customHeight="false" outlineLevel="0" collapsed="false">
      <c r="A161" s="25"/>
      <c r="B161" s="21"/>
      <c r="C161" s="21"/>
      <c r="D161" s="26" t="str">
        <f aca="false">IF(C161="","",IFERROR(INDEX('Cadastro Mestre'!$C$5:$C$504,MATCH(C161,'Cadastro Mestre'!$A$5:$A$504,0)),"código não encontrado"))</f>
        <v/>
      </c>
      <c r="E161" s="24" t="str">
        <f aca="false">IF(C161="","",IFERROR(INDEX('Cadastro Mestre'!$Q$5:$Q$504,MATCH(C161,'Cadastro Mestre'!$A$5:$A$504,0)),""))</f>
        <v/>
      </c>
      <c r="F161" s="21"/>
      <c r="G161" s="21"/>
      <c r="H161" s="21"/>
      <c r="I161" s="21"/>
    </row>
    <row r="162" customFormat="false" ht="15" hidden="false" customHeight="false" outlineLevel="0" collapsed="false">
      <c r="A162" s="25"/>
      <c r="B162" s="21"/>
      <c r="C162" s="21"/>
      <c r="D162" s="26" t="str">
        <f aca="false">IF(C162="","",IFERROR(INDEX('Cadastro Mestre'!$C$5:$C$504,MATCH(C162,'Cadastro Mestre'!$A$5:$A$504,0)),"código não encontrado"))</f>
        <v/>
      </c>
      <c r="E162" s="24" t="str">
        <f aca="false">IF(C162="","",IFERROR(INDEX('Cadastro Mestre'!$Q$5:$Q$504,MATCH(C162,'Cadastro Mestre'!$A$5:$A$504,0)),""))</f>
        <v/>
      </c>
      <c r="F162" s="21"/>
      <c r="G162" s="21"/>
      <c r="H162" s="21"/>
      <c r="I162" s="21"/>
    </row>
    <row r="163" customFormat="false" ht="15" hidden="false" customHeight="false" outlineLevel="0" collapsed="false">
      <c r="A163" s="25"/>
      <c r="B163" s="21"/>
      <c r="C163" s="21"/>
      <c r="D163" s="26" t="str">
        <f aca="false">IF(C163="","",IFERROR(INDEX('Cadastro Mestre'!$C$5:$C$504,MATCH(C163,'Cadastro Mestre'!$A$5:$A$504,0)),"código não encontrado"))</f>
        <v/>
      </c>
      <c r="E163" s="24" t="str">
        <f aca="false">IF(C163="","",IFERROR(INDEX('Cadastro Mestre'!$Q$5:$Q$504,MATCH(C163,'Cadastro Mestre'!$A$5:$A$504,0)),""))</f>
        <v/>
      </c>
      <c r="F163" s="21"/>
      <c r="G163" s="21"/>
      <c r="H163" s="21"/>
      <c r="I163" s="21"/>
    </row>
    <row r="164" customFormat="false" ht="15" hidden="false" customHeight="false" outlineLevel="0" collapsed="false">
      <c r="A164" s="25"/>
      <c r="B164" s="21"/>
      <c r="C164" s="21"/>
      <c r="D164" s="26" t="str">
        <f aca="false">IF(C164="","",IFERROR(INDEX('Cadastro Mestre'!$C$5:$C$504,MATCH(C164,'Cadastro Mestre'!$A$5:$A$504,0)),"código não encontrado"))</f>
        <v/>
      </c>
      <c r="E164" s="24" t="str">
        <f aca="false">IF(C164="","",IFERROR(INDEX('Cadastro Mestre'!$Q$5:$Q$504,MATCH(C164,'Cadastro Mestre'!$A$5:$A$504,0)),""))</f>
        <v/>
      </c>
      <c r="F164" s="21"/>
      <c r="G164" s="21"/>
      <c r="H164" s="21"/>
      <c r="I164" s="21"/>
    </row>
    <row r="165" customFormat="false" ht="15" hidden="false" customHeight="false" outlineLevel="0" collapsed="false">
      <c r="A165" s="25"/>
      <c r="B165" s="21"/>
      <c r="C165" s="21"/>
      <c r="D165" s="26" t="str">
        <f aca="false">IF(C165="","",IFERROR(INDEX('Cadastro Mestre'!$C$5:$C$504,MATCH(C165,'Cadastro Mestre'!$A$5:$A$504,0)),"código não encontrado"))</f>
        <v/>
      </c>
      <c r="E165" s="24" t="str">
        <f aca="false">IF(C165="","",IFERROR(INDEX('Cadastro Mestre'!$Q$5:$Q$504,MATCH(C165,'Cadastro Mestre'!$A$5:$A$504,0)),""))</f>
        <v/>
      </c>
      <c r="F165" s="21"/>
      <c r="G165" s="21"/>
      <c r="H165" s="21"/>
      <c r="I165" s="21"/>
    </row>
    <row r="166" customFormat="false" ht="15" hidden="false" customHeight="false" outlineLevel="0" collapsed="false">
      <c r="A166" s="25"/>
      <c r="B166" s="21"/>
      <c r="C166" s="21"/>
      <c r="D166" s="26" t="str">
        <f aca="false">IF(C166="","",IFERROR(INDEX('Cadastro Mestre'!$C$5:$C$504,MATCH(C166,'Cadastro Mestre'!$A$5:$A$504,0)),"código não encontrado"))</f>
        <v/>
      </c>
      <c r="E166" s="24" t="str">
        <f aca="false">IF(C166="","",IFERROR(INDEX('Cadastro Mestre'!$Q$5:$Q$504,MATCH(C166,'Cadastro Mestre'!$A$5:$A$504,0)),""))</f>
        <v/>
      </c>
      <c r="F166" s="21"/>
      <c r="G166" s="21"/>
      <c r="H166" s="21"/>
      <c r="I166" s="21"/>
    </row>
    <row r="167" customFormat="false" ht="15" hidden="false" customHeight="false" outlineLevel="0" collapsed="false">
      <c r="A167" s="25"/>
      <c r="B167" s="21"/>
      <c r="C167" s="21"/>
      <c r="D167" s="26" t="str">
        <f aca="false">IF(C167="","",IFERROR(INDEX('Cadastro Mestre'!$C$5:$C$504,MATCH(C167,'Cadastro Mestre'!$A$5:$A$504,0)),"código não encontrado"))</f>
        <v/>
      </c>
      <c r="E167" s="24" t="str">
        <f aca="false">IF(C167="","",IFERROR(INDEX('Cadastro Mestre'!$Q$5:$Q$504,MATCH(C167,'Cadastro Mestre'!$A$5:$A$504,0)),""))</f>
        <v/>
      </c>
      <c r="F167" s="21"/>
      <c r="G167" s="21"/>
      <c r="H167" s="21"/>
      <c r="I167" s="21"/>
    </row>
    <row r="168" customFormat="false" ht="15" hidden="false" customHeight="false" outlineLevel="0" collapsed="false">
      <c r="A168" s="25"/>
      <c r="B168" s="21"/>
      <c r="C168" s="21"/>
      <c r="D168" s="26" t="str">
        <f aca="false">IF(C168="","",IFERROR(INDEX('Cadastro Mestre'!$C$5:$C$504,MATCH(C168,'Cadastro Mestre'!$A$5:$A$504,0)),"código não encontrado"))</f>
        <v/>
      </c>
      <c r="E168" s="24" t="str">
        <f aca="false">IF(C168="","",IFERROR(INDEX('Cadastro Mestre'!$Q$5:$Q$504,MATCH(C168,'Cadastro Mestre'!$A$5:$A$504,0)),""))</f>
        <v/>
      </c>
      <c r="F168" s="21"/>
      <c r="G168" s="21"/>
      <c r="H168" s="21"/>
      <c r="I168" s="21"/>
    </row>
    <row r="169" customFormat="false" ht="15" hidden="false" customHeight="false" outlineLevel="0" collapsed="false">
      <c r="A169" s="25"/>
      <c r="B169" s="21"/>
      <c r="C169" s="21"/>
      <c r="D169" s="26" t="str">
        <f aca="false">IF(C169="","",IFERROR(INDEX('Cadastro Mestre'!$C$5:$C$504,MATCH(C169,'Cadastro Mestre'!$A$5:$A$504,0)),"código não encontrado"))</f>
        <v/>
      </c>
      <c r="E169" s="24" t="str">
        <f aca="false">IF(C169="","",IFERROR(INDEX('Cadastro Mestre'!$Q$5:$Q$504,MATCH(C169,'Cadastro Mestre'!$A$5:$A$504,0)),""))</f>
        <v/>
      </c>
      <c r="F169" s="21"/>
      <c r="G169" s="21"/>
      <c r="H169" s="21"/>
      <c r="I169" s="21"/>
    </row>
    <row r="170" customFormat="false" ht="15" hidden="false" customHeight="false" outlineLevel="0" collapsed="false">
      <c r="A170" s="25"/>
      <c r="B170" s="21"/>
      <c r="C170" s="21"/>
      <c r="D170" s="26" t="str">
        <f aca="false">IF(C170="","",IFERROR(INDEX('Cadastro Mestre'!$C$5:$C$504,MATCH(C170,'Cadastro Mestre'!$A$5:$A$504,0)),"código não encontrado"))</f>
        <v/>
      </c>
      <c r="E170" s="24" t="str">
        <f aca="false">IF(C170="","",IFERROR(INDEX('Cadastro Mestre'!$Q$5:$Q$504,MATCH(C170,'Cadastro Mestre'!$A$5:$A$504,0)),""))</f>
        <v/>
      </c>
      <c r="F170" s="21"/>
      <c r="G170" s="21"/>
      <c r="H170" s="21"/>
      <c r="I170" s="21"/>
    </row>
    <row r="171" customFormat="false" ht="15" hidden="false" customHeight="false" outlineLevel="0" collapsed="false">
      <c r="A171" s="25"/>
      <c r="B171" s="21"/>
      <c r="C171" s="21"/>
      <c r="D171" s="26" t="str">
        <f aca="false">IF(C171="","",IFERROR(INDEX('Cadastro Mestre'!$C$5:$C$504,MATCH(C171,'Cadastro Mestre'!$A$5:$A$504,0)),"código não encontrado"))</f>
        <v/>
      </c>
      <c r="E171" s="24" t="str">
        <f aca="false">IF(C171="","",IFERROR(INDEX('Cadastro Mestre'!$Q$5:$Q$504,MATCH(C171,'Cadastro Mestre'!$A$5:$A$504,0)),""))</f>
        <v/>
      </c>
      <c r="F171" s="21"/>
      <c r="G171" s="21"/>
      <c r="H171" s="21"/>
      <c r="I171" s="21"/>
    </row>
    <row r="172" customFormat="false" ht="15" hidden="false" customHeight="false" outlineLevel="0" collapsed="false">
      <c r="A172" s="25"/>
      <c r="B172" s="21"/>
      <c r="C172" s="21"/>
      <c r="D172" s="26" t="str">
        <f aca="false">IF(C172="","",IFERROR(INDEX('Cadastro Mestre'!$C$5:$C$504,MATCH(C172,'Cadastro Mestre'!$A$5:$A$504,0)),"código não encontrado"))</f>
        <v/>
      </c>
      <c r="E172" s="24" t="str">
        <f aca="false">IF(C172="","",IFERROR(INDEX('Cadastro Mestre'!$Q$5:$Q$504,MATCH(C172,'Cadastro Mestre'!$A$5:$A$504,0)),""))</f>
        <v/>
      </c>
      <c r="F172" s="21"/>
      <c r="G172" s="21"/>
      <c r="H172" s="21"/>
      <c r="I172" s="21"/>
    </row>
    <row r="173" customFormat="false" ht="15" hidden="false" customHeight="false" outlineLevel="0" collapsed="false">
      <c r="A173" s="25"/>
      <c r="B173" s="21"/>
      <c r="C173" s="21"/>
      <c r="D173" s="26" t="str">
        <f aca="false">IF(C173="","",IFERROR(INDEX('Cadastro Mestre'!$C$5:$C$504,MATCH(C173,'Cadastro Mestre'!$A$5:$A$504,0)),"código não encontrado"))</f>
        <v/>
      </c>
      <c r="E173" s="24" t="str">
        <f aca="false">IF(C173="","",IFERROR(INDEX('Cadastro Mestre'!$Q$5:$Q$504,MATCH(C173,'Cadastro Mestre'!$A$5:$A$504,0)),""))</f>
        <v/>
      </c>
      <c r="F173" s="21"/>
      <c r="G173" s="21"/>
      <c r="H173" s="21"/>
      <c r="I173" s="21"/>
    </row>
    <row r="174" customFormat="false" ht="15" hidden="false" customHeight="false" outlineLevel="0" collapsed="false">
      <c r="A174" s="25"/>
      <c r="B174" s="21"/>
      <c r="C174" s="21"/>
      <c r="D174" s="26" t="str">
        <f aca="false">IF(C174="","",IFERROR(INDEX('Cadastro Mestre'!$C$5:$C$504,MATCH(C174,'Cadastro Mestre'!$A$5:$A$504,0)),"código não encontrado"))</f>
        <v/>
      </c>
      <c r="E174" s="24" t="str">
        <f aca="false">IF(C174="","",IFERROR(INDEX('Cadastro Mestre'!$Q$5:$Q$504,MATCH(C174,'Cadastro Mestre'!$A$5:$A$504,0)),""))</f>
        <v/>
      </c>
      <c r="F174" s="21"/>
      <c r="G174" s="21"/>
      <c r="H174" s="21"/>
      <c r="I174" s="21"/>
    </row>
    <row r="175" customFormat="false" ht="15" hidden="false" customHeight="false" outlineLevel="0" collapsed="false">
      <c r="A175" s="25"/>
      <c r="B175" s="21"/>
      <c r="C175" s="21"/>
      <c r="D175" s="26" t="str">
        <f aca="false">IF(C175="","",IFERROR(INDEX('Cadastro Mestre'!$C$5:$C$504,MATCH(C175,'Cadastro Mestre'!$A$5:$A$504,0)),"código não encontrado"))</f>
        <v/>
      </c>
      <c r="E175" s="24" t="str">
        <f aca="false">IF(C175="","",IFERROR(INDEX('Cadastro Mestre'!$Q$5:$Q$504,MATCH(C175,'Cadastro Mestre'!$A$5:$A$504,0)),""))</f>
        <v/>
      </c>
      <c r="F175" s="21"/>
      <c r="G175" s="21"/>
      <c r="H175" s="21"/>
      <c r="I175" s="21"/>
    </row>
    <row r="176" customFormat="false" ht="15" hidden="false" customHeight="false" outlineLevel="0" collapsed="false">
      <c r="A176" s="25"/>
      <c r="B176" s="21"/>
      <c r="C176" s="21"/>
      <c r="D176" s="26" t="str">
        <f aca="false">IF(C176="","",IFERROR(INDEX('Cadastro Mestre'!$C$5:$C$504,MATCH(C176,'Cadastro Mestre'!$A$5:$A$504,0)),"código não encontrado"))</f>
        <v/>
      </c>
      <c r="E176" s="24" t="str">
        <f aca="false">IF(C176="","",IFERROR(INDEX('Cadastro Mestre'!$Q$5:$Q$504,MATCH(C176,'Cadastro Mestre'!$A$5:$A$504,0)),""))</f>
        <v/>
      </c>
      <c r="F176" s="21"/>
      <c r="G176" s="21"/>
      <c r="H176" s="21"/>
      <c r="I176" s="21"/>
    </row>
    <row r="177" customFormat="false" ht="15" hidden="false" customHeight="false" outlineLevel="0" collapsed="false">
      <c r="A177" s="25"/>
      <c r="B177" s="21"/>
      <c r="C177" s="21"/>
      <c r="D177" s="26" t="str">
        <f aca="false">IF(C177="","",IFERROR(INDEX('Cadastro Mestre'!$C$5:$C$504,MATCH(C177,'Cadastro Mestre'!$A$5:$A$504,0)),"código não encontrado"))</f>
        <v/>
      </c>
      <c r="E177" s="24" t="str">
        <f aca="false">IF(C177="","",IFERROR(INDEX('Cadastro Mestre'!$Q$5:$Q$504,MATCH(C177,'Cadastro Mestre'!$A$5:$A$504,0)),""))</f>
        <v/>
      </c>
      <c r="F177" s="21"/>
      <c r="G177" s="21"/>
      <c r="H177" s="21"/>
      <c r="I177" s="21"/>
    </row>
    <row r="178" customFormat="false" ht="15" hidden="false" customHeight="false" outlineLevel="0" collapsed="false">
      <c r="A178" s="25"/>
      <c r="B178" s="21"/>
      <c r="C178" s="21"/>
      <c r="D178" s="26" t="str">
        <f aca="false">IF(C178="","",IFERROR(INDEX('Cadastro Mestre'!$C$5:$C$504,MATCH(C178,'Cadastro Mestre'!$A$5:$A$504,0)),"código não encontrado"))</f>
        <v/>
      </c>
      <c r="E178" s="24" t="str">
        <f aca="false">IF(C178="","",IFERROR(INDEX('Cadastro Mestre'!$Q$5:$Q$504,MATCH(C178,'Cadastro Mestre'!$A$5:$A$504,0)),""))</f>
        <v/>
      </c>
      <c r="F178" s="21"/>
      <c r="G178" s="21"/>
      <c r="H178" s="21"/>
      <c r="I178" s="21"/>
    </row>
    <row r="179" customFormat="false" ht="15" hidden="false" customHeight="false" outlineLevel="0" collapsed="false">
      <c r="A179" s="25"/>
      <c r="B179" s="21"/>
      <c r="C179" s="21"/>
      <c r="D179" s="26" t="str">
        <f aca="false">IF(C179="","",IFERROR(INDEX('Cadastro Mestre'!$C$5:$C$504,MATCH(C179,'Cadastro Mestre'!$A$5:$A$504,0)),"código não encontrado"))</f>
        <v/>
      </c>
      <c r="E179" s="24" t="str">
        <f aca="false">IF(C179="","",IFERROR(INDEX('Cadastro Mestre'!$Q$5:$Q$504,MATCH(C179,'Cadastro Mestre'!$A$5:$A$504,0)),""))</f>
        <v/>
      </c>
      <c r="F179" s="21"/>
      <c r="G179" s="21"/>
      <c r="H179" s="21"/>
      <c r="I179" s="21"/>
    </row>
    <row r="180" customFormat="false" ht="15" hidden="false" customHeight="false" outlineLevel="0" collapsed="false">
      <c r="A180" s="25"/>
      <c r="B180" s="21"/>
      <c r="C180" s="21"/>
      <c r="D180" s="26" t="str">
        <f aca="false">IF(C180="","",IFERROR(INDEX('Cadastro Mestre'!$C$5:$C$504,MATCH(C180,'Cadastro Mestre'!$A$5:$A$504,0)),"código não encontrado"))</f>
        <v/>
      </c>
      <c r="E180" s="24" t="str">
        <f aca="false">IF(C180="","",IFERROR(INDEX('Cadastro Mestre'!$Q$5:$Q$504,MATCH(C180,'Cadastro Mestre'!$A$5:$A$504,0)),""))</f>
        <v/>
      </c>
      <c r="F180" s="21"/>
      <c r="G180" s="21"/>
      <c r="H180" s="21"/>
      <c r="I180" s="21"/>
    </row>
    <row r="181" customFormat="false" ht="15" hidden="false" customHeight="false" outlineLevel="0" collapsed="false">
      <c r="A181" s="25"/>
      <c r="B181" s="21"/>
      <c r="C181" s="21"/>
      <c r="D181" s="26" t="str">
        <f aca="false">IF(C181="","",IFERROR(INDEX('Cadastro Mestre'!$C$5:$C$504,MATCH(C181,'Cadastro Mestre'!$A$5:$A$504,0)),"código não encontrado"))</f>
        <v/>
      </c>
      <c r="E181" s="24" t="str">
        <f aca="false">IF(C181="","",IFERROR(INDEX('Cadastro Mestre'!$Q$5:$Q$504,MATCH(C181,'Cadastro Mestre'!$A$5:$A$504,0)),""))</f>
        <v/>
      </c>
      <c r="F181" s="21"/>
      <c r="G181" s="21"/>
      <c r="H181" s="21"/>
      <c r="I181" s="21"/>
    </row>
    <row r="182" customFormat="false" ht="15" hidden="false" customHeight="false" outlineLevel="0" collapsed="false">
      <c r="A182" s="25"/>
      <c r="B182" s="21"/>
      <c r="C182" s="21"/>
      <c r="D182" s="26" t="str">
        <f aca="false">IF(C182="","",IFERROR(INDEX('Cadastro Mestre'!$C$5:$C$504,MATCH(C182,'Cadastro Mestre'!$A$5:$A$504,0)),"código não encontrado"))</f>
        <v/>
      </c>
      <c r="E182" s="24" t="str">
        <f aca="false">IF(C182="","",IFERROR(INDEX('Cadastro Mestre'!$Q$5:$Q$504,MATCH(C182,'Cadastro Mestre'!$A$5:$A$504,0)),""))</f>
        <v/>
      </c>
      <c r="F182" s="21"/>
      <c r="G182" s="21"/>
      <c r="H182" s="21"/>
      <c r="I182" s="21"/>
    </row>
    <row r="183" customFormat="false" ht="15" hidden="false" customHeight="false" outlineLevel="0" collapsed="false">
      <c r="A183" s="25"/>
      <c r="B183" s="21"/>
      <c r="C183" s="21"/>
      <c r="D183" s="26" t="str">
        <f aca="false">IF(C183="","",IFERROR(INDEX('Cadastro Mestre'!$C$5:$C$504,MATCH(C183,'Cadastro Mestre'!$A$5:$A$504,0)),"código não encontrado"))</f>
        <v/>
      </c>
      <c r="E183" s="24" t="str">
        <f aca="false">IF(C183="","",IFERROR(INDEX('Cadastro Mestre'!$Q$5:$Q$504,MATCH(C183,'Cadastro Mestre'!$A$5:$A$504,0)),""))</f>
        <v/>
      </c>
      <c r="F183" s="21"/>
      <c r="G183" s="21"/>
      <c r="H183" s="21"/>
      <c r="I183" s="21"/>
    </row>
    <row r="184" customFormat="false" ht="15" hidden="false" customHeight="false" outlineLevel="0" collapsed="false">
      <c r="A184" s="25"/>
      <c r="B184" s="21"/>
      <c r="C184" s="21"/>
      <c r="D184" s="26" t="str">
        <f aca="false">IF(C184="","",IFERROR(INDEX('Cadastro Mestre'!$C$5:$C$504,MATCH(C184,'Cadastro Mestre'!$A$5:$A$504,0)),"código não encontrado"))</f>
        <v/>
      </c>
      <c r="E184" s="24" t="str">
        <f aca="false">IF(C184="","",IFERROR(INDEX('Cadastro Mestre'!$Q$5:$Q$504,MATCH(C184,'Cadastro Mestre'!$A$5:$A$504,0)),""))</f>
        <v/>
      </c>
      <c r="F184" s="21"/>
      <c r="G184" s="21"/>
      <c r="H184" s="21"/>
      <c r="I184" s="21"/>
    </row>
    <row r="185" customFormat="false" ht="15" hidden="false" customHeight="false" outlineLevel="0" collapsed="false">
      <c r="A185" s="25"/>
      <c r="B185" s="21"/>
      <c r="C185" s="21"/>
      <c r="D185" s="26" t="str">
        <f aca="false">IF(C185="","",IFERROR(INDEX('Cadastro Mestre'!$C$5:$C$504,MATCH(C185,'Cadastro Mestre'!$A$5:$A$504,0)),"código não encontrado"))</f>
        <v/>
      </c>
      <c r="E185" s="24" t="str">
        <f aca="false">IF(C185="","",IFERROR(INDEX('Cadastro Mestre'!$Q$5:$Q$504,MATCH(C185,'Cadastro Mestre'!$A$5:$A$504,0)),""))</f>
        <v/>
      </c>
      <c r="F185" s="21"/>
      <c r="G185" s="21"/>
      <c r="H185" s="21"/>
      <c r="I185" s="21"/>
    </row>
    <row r="186" customFormat="false" ht="15" hidden="false" customHeight="false" outlineLevel="0" collapsed="false">
      <c r="A186" s="25"/>
      <c r="B186" s="21"/>
      <c r="C186" s="21"/>
      <c r="D186" s="26" t="str">
        <f aca="false">IF(C186="","",IFERROR(INDEX('Cadastro Mestre'!$C$5:$C$504,MATCH(C186,'Cadastro Mestre'!$A$5:$A$504,0)),"código não encontrado"))</f>
        <v/>
      </c>
      <c r="E186" s="24" t="str">
        <f aca="false">IF(C186="","",IFERROR(INDEX('Cadastro Mestre'!$Q$5:$Q$504,MATCH(C186,'Cadastro Mestre'!$A$5:$A$504,0)),""))</f>
        <v/>
      </c>
      <c r="F186" s="21"/>
      <c r="G186" s="21"/>
      <c r="H186" s="21"/>
      <c r="I186" s="21"/>
    </row>
    <row r="187" customFormat="false" ht="15" hidden="false" customHeight="false" outlineLevel="0" collapsed="false">
      <c r="A187" s="25"/>
      <c r="B187" s="21"/>
      <c r="C187" s="21"/>
      <c r="D187" s="26" t="str">
        <f aca="false">IF(C187="","",IFERROR(INDEX('Cadastro Mestre'!$C$5:$C$504,MATCH(C187,'Cadastro Mestre'!$A$5:$A$504,0)),"código não encontrado"))</f>
        <v/>
      </c>
      <c r="E187" s="24" t="str">
        <f aca="false">IF(C187="","",IFERROR(INDEX('Cadastro Mestre'!$Q$5:$Q$504,MATCH(C187,'Cadastro Mestre'!$A$5:$A$504,0)),""))</f>
        <v/>
      </c>
      <c r="F187" s="21"/>
      <c r="G187" s="21"/>
      <c r="H187" s="21"/>
      <c r="I187" s="21"/>
    </row>
    <row r="188" customFormat="false" ht="15" hidden="false" customHeight="false" outlineLevel="0" collapsed="false">
      <c r="A188" s="25"/>
      <c r="B188" s="21"/>
      <c r="C188" s="21"/>
      <c r="D188" s="26" t="str">
        <f aca="false">IF(C188="","",IFERROR(INDEX('Cadastro Mestre'!$C$5:$C$504,MATCH(C188,'Cadastro Mestre'!$A$5:$A$504,0)),"código não encontrado"))</f>
        <v/>
      </c>
      <c r="E188" s="24" t="str">
        <f aca="false">IF(C188="","",IFERROR(INDEX('Cadastro Mestre'!$Q$5:$Q$504,MATCH(C188,'Cadastro Mestre'!$A$5:$A$504,0)),""))</f>
        <v/>
      </c>
      <c r="F188" s="21"/>
      <c r="G188" s="21"/>
      <c r="H188" s="21"/>
      <c r="I188" s="21"/>
    </row>
    <row r="189" customFormat="false" ht="15" hidden="false" customHeight="false" outlineLevel="0" collapsed="false">
      <c r="A189" s="25"/>
      <c r="B189" s="21"/>
      <c r="C189" s="21"/>
      <c r="D189" s="26" t="str">
        <f aca="false">IF(C189="","",IFERROR(INDEX('Cadastro Mestre'!$C$5:$C$504,MATCH(C189,'Cadastro Mestre'!$A$5:$A$504,0)),"código não encontrado"))</f>
        <v/>
      </c>
      <c r="E189" s="24" t="str">
        <f aca="false">IF(C189="","",IFERROR(INDEX('Cadastro Mestre'!$Q$5:$Q$504,MATCH(C189,'Cadastro Mestre'!$A$5:$A$504,0)),""))</f>
        <v/>
      </c>
      <c r="F189" s="21"/>
      <c r="G189" s="21"/>
      <c r="H189" s="21"/>
      <c r="I189" s="21"/>
    </row>
    <row r="190" customFormat="false" ht="15" hidden="false" customHeight="false" outlineLevel="0" collapsed="false">
      <c r="A190" s="25"/>
      <c r="B190" s="21"/>
      <c r="C190" s="21"/>
      <c r="D190" s="26" t="str">
        <f aca="false">IF(C190="","",IFERROR(INDEX('Cadastro Mestre'!$C$5:$C$504,MATCH(C190,'Cadastro Mestre'!$A$5:$A$504,0)),"código não encontrado"))</f>
        <v/>
      </c>
      <c r="E190" s="24" t="str">
        <f aca="false">IF(C190="","",IFERROR(INDEX('Cadastro Mestre'!$Q$5:$Q$504,MATCH(C190,'Cadastro Mestre'!$A$5:$A$504,0)),""))</f>
        <v/>
      </c>
      <c r="F190" s="21"/>
      <c r="G190" s="21"/>
      <c r="H190" s="21"/>
      <c r="I190" s="21"/>
    </row>
    <row r="191" customFormat="false" ht="15" hidden="false" customHeight="false" outlineLevel="0" collapsed="false">
      <c r="A191" s="25"/>
      <c r="B191" s="21"/>
      <c r="C191" s="21"/>
      <c r="D191" s="26" t="str">
        <f aca="false">IF(C191="","",IFERROR(INDEX('Cadastro Mestre'!$C$5:$C$504,MATCH(C191,'Cadastro Mestre'!$A$5:$A$504,0)),"código não encontrado"))</f>
        <v/>
      </c>
      <c r="E191" s="24" t="str">
        <f aca="false">IF(C191="","",IFERROR(INDEX('Cadastro Mestre'!$Q$5:$Q$504,MATCH(C191,'Cadastro Mestre'!$A$5:$A$504,0)),""))</f>
        <v/>
      </c>
      <c r="F191" s="21"/>
      <c r="G191" s="21"/>
      <c r="H191" s="21"/>
      <c r="I191" s="21"/>
    </row>
    <row r="192" customFormat="false" ht="15" hidden="false" customHeight="false" outlineLevel="0" collapsed="false">
      <c r="A192" s="25"/>
      <c r="B192" s="21"/>
      <c r="C192" s="21"/>
      <c r="D192" s="26" t="str">
        <f aca="false">IF(C192="","",IFERROR(INDEX('Cadastro Mestre'!$C$5:$C$504,MATCH(C192,'Cadastro Mestre'!$A$5:$A$504,0)),"código não encontrado"))</f>
        <v/>
      </c>
      <c r="E192" s="24" t="str">
        <f aca="false">IF(C192="","",IFERROR(INDEX('Cadastro Mestre'!$Q$5:$Q$504,MATCH(C192,'Cadastro Mestre'!$A$5:$A$504,0)),""))</f>
        <v/>
      </c>
      <c r="F192" s="21"/>
      <c r="G192" s="21"/>
      <c r="H192" s="21"/>
      <c r="I192" s="21"/>
    </row>
    <row r="193" customFormat="false" ht="15" hidden="false" customHeight="false" outlineLevel="0" collapsed="false">
      <c r="A193" s="25"/>
      <c r="B193" s="21"/>
      <c r="C193" s="21"/>
      <c r="D193" s="26" t="str">
        <f aca="false">IF(C193="","",IFERROR(INDEX('Cadastro Mestre'!$C$5:$C$504,MATCH(C193,'Cadastro Mestre'!$A$5:$A$504,0)),"código não encontrado"))</f>
        <v/>
      </c>
      <c r="E193" s="24" t="str">
        <f aca="false">IF(C193="","",IFERROR(INDEX('Cadastro Mestre'!$Q$5:$Q$504,MATCH(C193,'Cadastro Mestre'!$A$5:$A$504,0)),""))</f>
        <v/>
      </c>
      <c r="F193" s="21"/>
      <c r="G193" s="21"/>
      <c r="H193" s="21"/>
      <c r="I193" s="21"/>
    </row>
    <row r="194" customFormat="false" ht="15" hidden="false" customHeight="false" outlineLevel="0" collapsed="false">
      <c r="A194" s="25"/>
      <c r="B194" s="21"/>
      <c r="C194" s="21"/>
      <c r="D194" s="26" t="str">
        <f aca="false">IF(C194="","",IFERROR(INDEX('Cadastro Mestre'!$C$5:$C$504,MATCH(C194,'Cadastro Mestre'!$A$5:$A$504,0)),"código não encontrado"))</f>
        <v/>
      </c>
      <c r="E194" s="24" t="str">
        <f aca="false">IF(C194="","",IFERROR(INDEX('Cadastro Mestre'!$Q$5:$Q$504,MATCH(C194,'Cadastro Mestre'!$A$5:$A$504,0)),""))</f>
        <v/>
      </c>
      <c r="F194" s="21"/>
      <c r="G194" s="21"/>
      <c r="H194" s="21"/>
      <c r="I194" s="21"/>
    </row>
    <row r="195" customFormat="false" ht="15" hidden="false" customHeight="false" outlineLevel="0" collapsed="false">
      <c r="A195" s="25"/>
      <c r="B195" s="21"/>
      <c r="C195" s="21"/>
      <c r="D195" s="26" t="str">
        <f aca="false">IF(C195="","",IFERROR(INDEX('Cadastro Mestre'!$C$5:$C$504,MATCH(C195,'Cadastro Mestre'!$A$5:$A$504,0)),"código não encontrado"))</f>
        <v/>
      </c>
      <c r="E195" s="24" t="str">
        <f aca="false">IF(C195="","",IFERROR(INDEX('Cadastro Mestre'!$Q$5:$Q$504,MATCH(C195,'Cadastro Mestre'!$A$5:$A$504,0)),""))</f>
        <v/>
      </c>
      <c r="F195" s="21"/>
      <c r="G195" s="21"/>
      <c r="H195" s="21"/>
      <c r="I195" s="21"/>
    </row>
    <row r="196" customFormat="false" ht="15" hidden="false" customHeight="false" outlineLevel="0" collapsed="false">
      <c r="A196" s="25"/>
      <c r="B196" s="21"/>
      <c r="C196" s="21"/>
      <c r="D196" s="26" t="str">
        <f aca="false">IF(C196="","",IFERROR(INDEX('Cadastro Mestre'!$C$5:$C$504,MATCH(C196,'Cadastro Mestre'!$A$5:$A$504,0)),"código não encontrado"))</f>
        <v/>
      </c>
      <c r="E196" s="24" t="str">
        <f aca="false">IF(C196="","",IFERROR(INDEX('Cadastro Mestre'!$Q$5:$Q$504,MATCH(C196,'Cadastro Mestre'!$A$5:$A$504,0)),""))</f>
        <v/>
      </c>
      <c r="F196" s="21"/>
      <c r="G196" s="21"/>
      <c r="H196" s="21"/>
      <c r="I196" s="21"/>
    </row>
    <row r="197" customFormat="false" ht="15" hidden="false" customHeight="false" outlineLevel="0" collapsed="false">
      <c r="A197" s="25"/>
      <c r="B197" s="21"/>
      <c r="C197" s="21"/>
      <c r="D197" s="26" t="str">
        <f aca="false">IF(C197="","",IFERROR(INDEX('Cadastro Mestre'!$C$5:$C$504,MATCH(C197,'Cadastro Mestre'!$A$5:$A$504,0)),"código não encontrado"))</f>
        <v/>
      </c>
      <c r="E197" s="24" t="str">
        <f aca="false">IF(C197="","",IFERROR(INDEX('Cadastro Mestre'!$Q$5:$Q$504,MATCH(C197,'Cadastro Mestre'!$A$5:$A$504,0)),""))</f>
        <v/>
      </c>
      <c r="F197" s="21"/>
      <c r="G197" s="21"/>
      <c r="H197" s="21"/>
      <c r="I197" s="21"/>
    </row>
    <row r="198" customFormat="false" ht="15" hidden="false" customHeight="false" outlineLevel="0" collapsed="false">
      <c r="A198" s="25"/>
      <c r="B198" s="21"/>
      <c r="C198" s="21"/>
      <c r="D198" s="26" t="str">
        <f aca="false">IF(C198="","",IFERROR(INDEX('Cadastro Mestre'!$C$5:$C$504,MATCH(C198,'Cadastro Mestre'!$A$5:$A$504,0)),"código não encontrado"))</f>
        <v/>
      </c>
      <c r="E198" s="24" t="str">
        <f aca="false">IF(C198="","",IFERROR(INDEX('Cadastro Mestre'!$Q$5:$Q$504,MATCH(C198,'Cadastro Mestre'!$A$5:$A$504,0)),""))</f>
        <v/>
      </c>
      <c r="F198" s="21"/>
      <c r="G198" s="21"/>
      <c r="H198" s="21"/>
      <c r="I198" s="21"/>
    </row>
    <row r="199" customFormat="false" ht="15" hidden="false" customHeight="false" outlineLevel="0" collapsed="false">
      <c r="A199" s="25"/>
      <c r="B199" s="21"/>
      <c r="C199" s="21"/>
      <c r="D199" s="26" t="str">
        <f aca="false">IF(C199="","",IFERROR(INDEX('Cadastro Mestre'!$C$5:$C$504,MATCH(C199,'Cadastro Mestre'!$A$5:$A$504,0)),"código não encontrado"))</f>
        <v/>
      </c>
      <c r="E199" s="24" t="str">
        <f aca="false">IF(C199="","",IFERROR(INDEX('Cadastro Mestre'!$Q$5:$Q$504,MATCH(C199,'Cadastro Mestre'!$A$5:$A$504,0)),""))</f>
        <v/>
      </c>
      <c r="F199" s="21"/>
      <c r="G199" s="21"/>
      <c r="H199" s="21"/>
      <c r="I199" s="21"/>
    </row>
    <row r="200" customFormat="false" ht="15" hidden="false" customHeight="false" outlineLevel="0" collapsed="false">
      <c r="A200" s="25"/>
      <c r="B200" s="21"/>
      <c r="C200" s="21"/>
      <c r="D200" s="26" t="str">
        <f aca="false">IF(C200="","",IFERROR(INDEX('Cadastro Mestre'!$C$5:$C$504,MATCH(C200,'Cadastro Mestre'!$A$5:$A$504,0)),"código não encontrado"))</f>
        <v/>
      </c>
      <c r="E200" s="24" t="str">
        <f aca="false">IF(C200="","",IFERROR(INDEX('Cadastro Mestre'!$Q$5:$Q$504,MATCH(C200,'Cadastro Mestre'!$A$5:$A$504,0)),""))</f>
        <v/>
      </c>
      <c r="F200" s="21"/>
      <c r="G200" s="21"/>
      <c r="H200" s="21"/>
      <c r="I200" s="21"/>
    </row>
    <row r="201" customFormat="false" ht="15" hidden="false" customHeight="false" outlineLevel="0" collapsed="false">
      <c r="A201" s="25"/>
      <c r="B201" s="21"/>
      <c r="C201" s="21"/>
      <c r="D201" s="26" t="str">
        <f aca="false">IF(C201="","",IFERROR(INDEX('Cadastro Mestre'!$C$5:$C$504,MATCH(C201,'Cadastro Mestre'!$A$5:$A$504,0)),"código não encontrado"))</f>
        <v/>
      </c>
      <c r="E201" s="24" t="str">
        <f aca="false">IF(C201="","",IFERROR(INDEX('Cadastro Mestre'!$Q$5:$Q$504,MATCH(C201,'Cadastro Mestre'!$A$5:$A$504,0)),""))</f>
        <v/>
      </c>
      <c r="F201" s="21"/>
      <c r="G201" s="21"/>
      <c r="H201" s="21"/>
      <c r="I201" s="21"/>
    </row>
    <row r="202" customFormat="false" ht="15" hidden="false" customHeight="false" outlineLevel="0" collapsed="false">
      <c r="A202" s="25"/>
      <c r="B202" s="21"/>
      <c r="C202" s="21"/>
      <c r="D202" s="26" t="str">
        <f aca="false">IF(C202="","",IFERROR(INDEX('Cadastro Mestre'!$C$5:$C$504,MATCH(C202,'Cadastro Mestre'!$A$5:$A$504,0)),"código não encontrado"))</f>
        <v/>
      </c>
      <c r="E202" s="24" t="str">
        <f aca="false">IF(C202="","",IFERROR(INDEX('Cadastro Mestre'!$Q$5:$Q$504,MATCH(C202,'Cadastro Mestre'!$A$5:$A$504,0)),""))</f>
        <v/>
      </c>
      <c r="F202" s="21"/>
      <c r="G202" s="21"/>
      <c r="H202" s="21"/>
      <c r="I202" s="21"/>
    </row>
    <row r="203" customFormat="false" ht="15" hidden="false" customHeight="false" outlineLevel="0" collapsed="false">
      <c r="A203" s="25"/>
      <c r="B203" s="21"/>
      <c r="C203" s="21"/>
      <c r="D203" s="26" t="str">
        <f aca="false">IF(C203="","",IFERROR(INDEX('Cadastro Mestre'!$C$5:$C$504,MATCH(C203,'Cadastro Mestre'!$A$5:$A$504,0)),"código não encontrado"))</f>
        <v/>
      </c>
      <c r="E203" s="24" t="str">
        <f aca="false">IF(C203="","",IFERROR(INDEX('Cadastro Mestre'!$Q$5:$Q$504,MATCH(C203,'Cadastro Mestre'!$A$5:$A$504,0)),""))</f>
        <v/>
      </c>
      <c r="F203" s="21"/>
      <c r="G203" s="21"/>
      <c r="H203" s="21"/>
      <c r="I203" s="21"/>
    </row>
    <row r="204" customFormat="false" ht="15" hidden="false" customHeight="false" outlineLevel="0" collapsed="false">
      <c r="A204" s="25"/>
      <c r="B204" s="21"/>
      <c r="C204" s="21"/>
      <c r="D204" s="26" t="str">
        <f aca="false">IF(C204="","",IFERROR(INDEX('Cadastro Mestre'!$C$5:$C$504,MATCH(C204,'Cadastro Mestre'!$A$5:$A$504,0)),"código não encontrado"))</f>
        <v/>
      </c>
      <c r="E204" s="24" t="str">
        <f aca="false">IF(C204="","",IFERROR(INDEX('Cadastro Mestre'!$Q$5:$Q$504,MATCH(C204,'Cadastro Mestre'!$A$5:$A$504,0)),""))</f>
        <v/>
      </c>
      <c r="F204" s="21"/>
      <c r="G204" s="21"/>
      <c r="H204" s="21"/>
      <c r="I204" s="21"/>
    </row>
    <row r="205" customFormat="false" ht="15" hidden="false" customHeight="false" outlineLevel="0" collapsed="false">
      <c r="A205" s="25"/>
      <c r="B205" s="21"/>
      <c r="C205" s="21"/>
      <c r="D205" s="26" t="str">
        <f aca="false">IF(C205="","",IFERROR(INDEX('Cadastro Mestre'!$C$5:$C$504,MATCH(C205,'Cadastro Mestre'!$A$5:$A$504,0)),"código não encontrado"))</f>
        <v/>
      </c>
      <c r="E205" s="24" t="str">
        <f aca="false">IF(C205="","",IFERROR(INDEX('Cadastro Mestre'!$Q$5:$Q$504,MATCH(C205,'Cadastro Mestre'!$A$5:$A$504,0)),""))</f>
        <v/>
      </c>
      <c r="F205" s="21"/>
      <c r="G205" s="21"/>
      <c r="H205" s="21"/>
      <c r="I205" s="21"/>
    </row>
    <row r="206" customFormat="false" ht="15" hidden="false" customHeight="false" outlineLevel="0" collapsed="false">
      <c r="A206" s="25"/>
      <c r="B206" s="21"/>
      <c r="C206" s="21"/>
      <c r="D206" s="26" t="str">
        <f aca="false">IF(C206="","",IFERROR(INDEX('Cadastro Mestre'!$C$5:$C$504,MATCH(C206,'Cadastro Mestre'!$A$5:$A$504,0)),"código não encontrado"))</f>
        <v/>
      </c>
      <c r="E206" s="24" t="str">
        <f aca="false">IF(C206="","",IFERROR(INDEX('Cadastro Mestre'!$Q$5:$Q$504,MATCH(C206,'Cadastro Mestre'!$A$5:$A$504,0)),""))</f>
        <v/>
      </c>
      <c r="F206" s="21"/>
      <c r="G206" s="21"/>
      <c r="H206" s="21"/>
      <c r="I206" s="21"/>
    </row>
    <row r="207" customFormat="false" ht="15" hidden="false" customHeight="false" outlineLevel="0" collapsed="false">
      <c r="A207" s="25"/>
      <c r="B207" s="21"/>
      <c r="C207" s="21"/>
      <c r="D207" s="26" t="str">
        <f aca="false">IF(C207="","",IFERROR(INDEX('Cadastro Mestre'!$C$5:$C$504,MATCH(C207,'Cadastro Mestre'!$A$5:$A$504,0)),"código não encontrado"))</f>
        <v/>
      </c>
      <c r="E207" s="24" t="str">
        <f aca="false">IF(C207="","",IFERROR(INDEX('Cadastro Mestre'!$Q$5:$Q$504,MATCH(C207,'Cadastro Mestre'!$A$5:$A$504,0)),""))</f>
        <v/>
      </c>
      <c r="F207" s="21"/>
      <c r="G207" s="21"/>
      <c r="H207" s="21"/>
      <c r="I207" s="21"/>
    </row>
    <row r="208" customFormat="false" ht="15" hidden="false" customHeight="false" outlineLevel="0" collapsed="false">
      <c r="A208" s="25"/>
      <c r="B208" s="21"/>
      <c r="C208" s="21"/>
      <c r="D208" s="26" t="str">
        <f aca="false">IF(C208="","",IFERROR(INDEX('Cadastro Mestre'!$C$5:$C$504,MATCH(C208,'Cadastro Mestre'!$A$5:$A$504,0)),"código não encontrado"))</f>
        <v/>
      </c>
      <c r="E208" s="24" t="str">
        <f aca="false">IF(C208="","",IFERROR(INDEX('Cadastro Mestre'!$Q$5:$Q$504,MATCH(C208,'Cadastro Mestre'!$A$5:$A$504,0)),""))</f>
        <v/>
      </c>
      <c r="F208" s="21"/>
      <c r="G208" s="21"/>
      <c r="H208" s="21"/>
      <c r="I208" s="21"/>
    </row>
    <row r="209" customFormat="false" ht="15" hidden="false" customHeight="false" outlineLevel="0" collapsed="false">
      <c r="A209" s="25"/>
      <c r="B209" s="21"/>
      <c r="C209" s="21"/>
      <c r="D209" s="26" t="str">
        <f aca="false">IF(C209="","",IFERROR(INDEX('Cadastro Mestre'!$C$5:$C$504,MATCH(C209,'Cadastro Mestre'!$A$5:$A$504,0)),"código não encontrado"))</f>
        <v/>
      </c>
      <c r="E209" s="24" t="str">
        <f aca="false">IF(C209="","",IFERROR(INDEX('Cadastro Mestre'!$Q$5:$Q$504,MATCH(C209,'Cadastro Mestre'!$A$5:$A$504,0)),""))</f>
        <v/>
      </c>
      <c r="F209" s="21"/>
      <c r="G209" s="21"/>
      <c r="H209" s="21"/>
      <c r="I209" s="21"/>
    </row>
    <row r="210" customFormat="false" ht="15" hidden="false" customHeight="false" outlineLevel="0" collapsed="false">
      <c r="A210" s="25"/>
      <c r="B210" s="21"/>
      <c r="C210" s="21"/>
      <c r="D210" s="26" t="str">
        <f aca="false">IF(C210="","",IFERROR(INDEX('Cadastro Mestre'!$C$5:$C$504,MATCH(C210,'Cadastro Mestre'!$A$5:$A$504,0)),"código não encontrado"))</f>
        <v/>
      </c>
      <c r="E210" s="24" t="str">
        <f aca="false">IF(C210="","",IFERROR(INDEX('Cadastro Mestre'!$Q$5:$Q$504,MATCH(C210,'Cadastro Mestre'!$A$5:$A$504,0)),""))</f>
        <v/>
      </c>
      <c r="F210" s="21"/>
      <c r="G210" s="21"/>
      <c r="H210" s="21"/>
      <c r="I210" s="21"/>
    </row>
    <row r="211" customFormat="false" ht="15" hidden="false" customHeight="false" outlineLevel="0" collapsed="false">
      <c r="A211" s="25"/>
      <c r="B211" s="21"/>
      <c r="C211" s="21"/>
      <c r="D211" s="26" t="str">
        <f aca="false">IF(C211="","",IFERROR(INDEX('Cadastro Mestre'!$C$5:$C$504,MATCH(C211,'Cadastro Mestre'!$A$5:$A$504,0)),"código não encontrado"))</f>
        <v/>
      </c>
      <c r="E211" s="24" t="str">
        <f aca="false">IF(C211="","",IFERROR(INDEX('Cadastro Mestre'!$Q$5:$Q$504,MATCH(C211,'Cadastro Mestre'!$A$5:$A$504,0)),""))</f>
        <v/>
      </c>
      <c r="F211" s="21"/>
      <c r="G211" s="21"/>
      <c r="H211" s="21"/>
      <c r="I211" s="21"/>
    </row>
    <row r="212" customFormat="false" ht="15" hidden="false" customHeight="false" outlineLevel="0" collapsed="false">
      <c r="A212" s="25"/>
      <c r="B212" s="21"/>
      <c r="C212" s="21"/>
      <c r="D212" s="26" t="str">
        <f aca="false">IF(C212="","",IFERROR(INDEX('Cadastro Mestre'!$C$5:$C$504,MATCH(C212,'Cadastro Mestre'!$A$5:$A$504,0)),"código não encontrado"))</f>
        <v/>
      </c>
      <c r="E212" s="24" t="str">
        <f aca="false">IF(C212="","",IFERROR(INDEX('Cadastro Mestre'!$Q$5:$Q$504,MATCH(C212,'Cadastro Mestre'!$A$5:$A$504,0)),""))</f>
        <v/>
      </c>
      <c r="F212" s="21"/>
      <c r="G212" s="21"/>
      <c r="H212" s="21"/>
      <c r="I212" s="21"/>
    </row>
    <row r="213" customFormat="false" ht="15" hidden="false" customHeight="false" outlineLevel="0" collapsed="false">
      <c r="A213" s="25"/>
      <c r="B213" s="21"/>
      <c r="C213" s="21"/>
      <c r="D213" s="26" t="str">
        <f aca="false">IF(C213="","",IFERROR(INDEX('Cadastro Mestre'!$C$5:$C$504,MATCH(C213,'Cadastro Mestre'!$A$5:$A$504,0)),"código não encontrado"))</f>
        <v/>
      </c>
      <c r="E213" s="24" t="str">
        <f aca="false">IF(C213="","",IFERROR(INDEX('Cadastro Mestre'!$Q$5:$Q$504,MATCH(C213,'Cadastro Mestre'!$A$5:$A$504,0)),""))</f>
        <v/>
      </c>
      <c r="F213" s="21"/>
      <c r="G213" s="21"/>
      <c r="H213" s="21"/>
      <c r="I213" s="21"/>
    </row>
    <row r="214" customFormat="false" ht="15" hidden="false" customHeight="false" outlineLevel="0" collapsed="false">
      <c r="A214" s="25"/>
      <c r="B214" s="21"/>
      <c r="C214" s="21"/>
      <c r="D214" s="26" t="str">
        <f aca="false">IF(C214="","",IFERROR(INDEX('Cadastro Mestre'!$C$5:$C$504,MATCH(C214,'Cadastro Mestre'!$A$5:$A$504,0)),"código não encontrado"))</f>
        <v/>
      </c>
      <c r="E214" s="24" t="str">
        <f aca="false">IF(C214="","",IFERROR(INDEX('Cadastro Mestre'!$Q$5:$Q$504,MATCH(C214,'Cadastro Mestre'!$A$5:$A$504,0)),""))</f>
        <v/>
      </c>
      <c r="F214" s="21"/>
      <c r="G214" s="21"/>
      <c r="H214" s="21"/>
      <c r="I214" s="21"/>
    </row>
    <row r="215" customFormat="false" ht="15" hidden="false" customHeight="false" outlineLevel="0" collapsed="false">
      <c r="A215" s="25"/>
      <c r="B215" s="21"/>
      <c r="C215" s="21"/>
      <c r="D215" s="26" t="str">
        <f aca="false">IF(C215="","",IFERROR(INDEX('Cadastro Mestre'!$C$5:$C$504,MATCH(C215,'Cadastro Mestre'!$A$5:$A$504,0)),"código não encontrado"))</f>
        <v/>
      </c>
      <c r="E215" s="24" t="str">
        <f aca="false">IF(C215="","",IFERROR(INDEX('Cadastro Mestre'!$Q$5:$Q$504,MATCH(C215,'Cadastro Mestre'!$A$5:$A$504,0)),""))</f>
        <v/>
      </c>
      <c r="F215" s="21"/>
      <c r="G215" s="21"/>
      <c r="H215" s="21"/>
      <c r="I215" s="21"/>
    </row>
    <row r="216" customFormat="false" ht="15" hidden="false" customHeight="false" outlineLevel="0" collapsed="false">
      <c r="A216" s="25"/>
      <c r="B216" s="21"/>
      <c r="C216" s="21"/>
      <c r="D216" s="26" t="str">
        <f aca="false">IF(C216="","",IFERROR(INDEX('Cadastro Mestre'!$C$5:$C$504,MATCH(C216,'Cadastro Mestre'!$A$5:$A$504,0)),"código não encontrado"))</f>
        <v/>
      </c>
      <c r="E216" s="24" t="str">
        <f aca="false">IF(C216="","",IFERROR(INDEX('Cadastro Mestre'!$Q$5:$Q$504,MATCH(C216,'Cadastro Mestre'!$A$5:$A$504,0)),""))</f>
        <v/>
      </c>
      <c r="F216" s="21"/>
      <c r="G216" s="21"/>
      <c r="H216" s="21"/>
      <c r="I216" s="21"/>
    </row>
    <row r="217" customFormat="false" ht="15" hidden="false" customHeight="false" outlineLevel="0" collapsed="false">
      <c r="A217" s="25"/>
      <c r="B217" s="21"/>
      <c r="C217" s="21"/>
      <c r="D217" s="26" t="str">
        <f aca="false">IF(C217="","",IFERROR(INDEX('Cadastro Mestre'!$C$5:$C$504,MATCH(C217,'Cadastro Mestre'!$A$5:$A$504,0)),"código não encontrado"))</f>
        <v/>
      </c>
      <c r="E217" s="24" t="str">
        <f aca="false">IF(C217="","",IFERROR(INDEX('Cadastro Mestre'!$Q$5:$Q$504,MATCH(C217,'Cadastro Mestre'!$A$5:$A$504,0)),""))</f>
        <v/>
      </c>
      <c r="F217" s="21"/>
      <c r="G217" s="21"/>
      <c r="H217" s="21"/>
      <c r="I217" s="21"/>
    </row>
    <row r="218" customFormat="false" ht="15" hidden="false" customHeight="false" outlineLevel="0" collapsed="false">
      <c r="A218" s="25"/>
      <c r="B218" s="21"/>
      <c r="C218" s="21"/>
      <c r="D218" s="26" t="str">
        <f aca="false">IF(C218="","",IFERROR(INDEX('Cadastro Mestre'!$C$5:$C$504,MATCH(C218,'Cadastro Mestre'!$A$5:$A$504,0)),"código não encontrado"))</f>
        <v/>
      </c>
      <c r="E218" s="24" t="str">
        <f aca="false">IF(C218="","",IFERROR(INDEX('Cadastro Mestre'!$Q$5:$Q$504,MATCH(C218,'Cadastro Mestre'!$A$5:$A$504,0)),""))</f>
        <v/>
      </c>
      <c r="F218" s="21"/>
      <c r="G218" s="21"/>
      <c r="H218" s="21"/>
      <c r="I218" s="21"/>
    </row>
    <row r="219" customFormat="false" ht="15" hidden="false" customHeight="false" outlineLevel="0" collapsed="false">
      <c r="A219" s="25"/>
      <c r="B219" s="21"/>
      <c r="C219" s="21"/>
      <c r="D219" s="26" t="str">
        <f aca="false">IF(C219="","",IFERROR(INDEX('Cadastro Mestre'!$C$5:$C$504,MATCH(C219,'Cadastro Mestre'!$A$5:$A$504,0)),"código não encontrado"))</f>
        <v/>
      </c>
      <c r="E219" s="24" t="str">
        <f aca="false">IF(C219="","",IFERROR(INDEX('Cadastro Mestre'!$Q$5:$Q$504,MATCH(C219,'Cadastro Mestre'!$A$5:$A$504,0)),""))</f>
        <v/>
      </c>
      <c r="F219" s="21"/>
      <c r="G219" s="21"/>
      <c r="H219" s="21"/>
      <c r="I219" s="21"/>
    </row>
    <row r="220" customFormat="false" ht="15" hidden="false" customHeight="false" outlineLevel="0" collapsed="false">
      <c r="A220" s="25"/>
      <c r="B220" s="21"/>
      <c r="C220" s="21"/>
      <c r="D220" s="26" t="str">
        <f aca="false">IF(C220="","",IFERROR(INDEX('Cadastro Mestre'!$C$5:$C$504,MATCH(C220,'Cadastro Mestre'!$A$5:$A$504,0)),"código não encontrado"))</f>
        <v/>
      </c>
      <c r="E220" s="24" t="str">
        <f aca="false">IF(C220="","",IFERROR(INDEX('Cadastro Mestre'!$Q$5:$Q$504,MATCH(C220,'Cadastro Mestre'!$A$5:$A$504,0)),""))</f>
        <v/>
      </c>
      <c r="F220" s="21"/>
      <c r="G220" s="21"/>
      <c r="H220" s="21"/>
      <c r="I220" s="21"/>
    </row>
    <row r="221" customFormat="false" ht="15" hidden="false" customHeight="false" outlineLevel="0" collapsed="false">
      <c r="A221" s="25"/>
      <c r="B221" s="21"/>
      <c r="C221" s="21"/>
      <c r="D221" s="26" t="str">
        <f aca="false">IF(C221="","",IFERROR(INDEX('Cadastro Mestre'!$C$5:$C$504,MATCH(C221,'Cadastro Mestre'!$A$5:$A$504,0)),"código não encontrado"))</f>
        <v/>
      </c>
      <c r="E221" s="24" t="str">
        <f aca="false">IF(C221="","",IFERROR(INDEX('Cadastro Mestre'!$Q$5:$Q$504,MATCH(C221,'Cadastro Mestre'!$A$5:$A$504,0)),""))</f>
        <v/>
      </c>
      <c r="F221" s="21"/>
      <c r="G221" s="21"/>
      <c r="H221" s="21"/>
      <c r="I221" s="21"/>
    </row>
    <row r="222" customFormat="false" ht="15" hidden="false" customHeight="false" outlineLevel="0" collapsed="false">
      <c r="A222" s="25"/>
      <c r="B222" s="21"/>
      <c r="C222" s="21"/>
      <c r="D222" s="26" t="str">
        <f aca="false">IF(C222="","",IFERROR(INDEX('Cadastro Mestre'!$C$5:$C$504,MATCH(C222,'Cadastro Mestre'!$A$5:$A$504,0)),"código não encontrado"))</f>
        <v/>
      </c>
      <c r="E222" s="24" t="str">
        <f aca="false">IF(C222="","",IFERROR(INDEX('Cadastro Mestre'!$Q$5:$Q$504,MATCH(C222,'Cadastro Mestre'!$A$5:$A$504,0)),""))</f>
        <v/>
      </c>
      <c r="F222" s="21"/>
      <c r="G222" s="21"/>
      <c r="H222" s="21"/>
      <c r="I222" s="21"/>
    </row>
    <row r="223" customFormat="false" ht="15" hidden="false" customHeight="false" outlineLevel="0" collapsed="false">
      <c r="A223" s="25"/>
      <c r="B223" s="21"/>
      <c r="C223" s="21"/>
      <c r="D223" s="26" t="str">
        <f aca="false">IF(C223="","",IFERROR(INDEX('Cadastro Mestre'!$C$5:$C$504,MATCH(C223,'Cadastro Mestre'!$A$5:$A$504,0)),"código não encontrado"))</f>
        <v/>
      </c>
      <c r="E223" s="24" t="str">
        <f aca="false">IF(C223="","",IFERROR(INDEX('Cadastro Mestre'!$Q$5:$Q$504,MATCH(C223,'Cadastro Mestre'!$A$5:$A$504,0)),""))</f>
        <v/>
      </c>
      <c r="F223" s="21"/>
      <c r="G223" s="21"/>
      <c r="H223" s="21"/>
      <c r="I223" s="21"/>
    </row>
    <row r="224" customFormat="false" ht="15" hidden="false" customHeight="false" outlineLevel="0" collapsed="false">
      <c r="A224" s="25"/>
      <c r="B224" s="21"/>
      <c r="C224" s="21"/>
      <c r="D224" s="26" t="str">
        <f aca="false">IF(C224="","",IFERROR(INDEX('Cadastro Mestre'!$C$5:$C$504,MATCH(C224,'Cadastro Mestre'!$A$5:$A$504,0)),"código não encontrado"))</f>
        <v/>
      </c>
      <c r="E224" s="24" t="str">
        <f aca="false">IF(C224="","",IFERROR(INDEX('Cadastro Mestre'!$Q$5:$Q$504,MATCH(C224,'Cadastro Mestre'!$A$5:$A$504,0)),""))</f>
        <v/>
      </c>
      <c r="F224" s="21"/>
      <c r="G224" s="21"/>
      <c r="H224" s="21"/>
      <c r="I224" s="21"/>
    </row>
    <row r="225" customFormat="false" ht="15" hidden="false" customHeight="false" outlineLevel="0" collapsed="false">
      <c r="A225" s="25"/>
      <c r="B225" s="21"/>
      <c r="C225" s="21"/>
      <c r="D225" s="26" t="str">
        <f aca="false">IF(C225="","",IFERROR(INDEX('Cadastro Mestre'!$C$5:$C$504,MATCH(C225,'Cadastro Mestre'!$A$5:$A$504,0)),"código não encontrado"))</f>
        <v/>
      </c>
      <c r="E225" s="24" t="str">
        <f aca="false">IF(C225="","",IFERROR(INDEX('Cadastro Mestre'!$Q$5:$Q$504,MATCH(C225,'Cadastro Mestre'!$A$5:$A$504,0)),""))</f>
        <v/>
      </c>
      <c r="F225" s="21"/>
      <c r="G225" s="21"/>
      <c r="H225" s="21"/>
      <c r="I225" s="21"/>
    </row>
    <row r="226" customFormat="false" ht="15" hidden="false" customHeight="false" outlineLevel="0" collapsed="false">
      <c r="A226" s="25"/>
      <c r="B226" s="21"/>
      <c r="C226" s="21"/>
      <c r="D226" s="26" t="str">
        <f aca="false">IF(C226="","",IFERROR(INDEX('Cadastro Mestre'!$C$5:$C$504,MATCH(C226,'Cadastro Mestre'!$A$5:$A$504,0)),"código não encontrado"))</f>
        <v/>
      </c>
      <c r="E226" s="24" t="str">
        <f aca="false">IF(C226="","",IFERROR(INDEX('Cadastro Mestre'!$Q$5:$Q$504,MATCH(C226,'Cadastro Mestre'!$A$5:$A$504,0)),""))</f>
        <v/>
      </c>
      <c r="F226" s="21"/>
      <c r="G226" s="21"/>
      <c r="H226" s="21"/>
      <c r="I226" s="21"/>
    </row>
    <row r="227" customFormat="false" ht="15" hidden="false" customHeight="false" outlineLevel="0" collapsed="false">
      <c r="A227" s="25"/>
      <c r="B227" s="21"/>
      <c r="C227" s="21"/>
      <c r="D227" s="26" t="str">
        <f aca="false">IF(C227="","",IFERROR(INDEX('Cadastro Mestre'!$C$5:$C$504,MATCH(C227,'Cadastro Mestre'!$A$5:$A$504,0)),"código não encontrado"))</f>
        <v/>
      </c>
      <c r="E227" s="24" t="str">
        <f aca="false">IF(C227="","",IFERROR(INDEX('Cadastro Mestre'!$Q$5:$Q$504,MATCH(C227,'Cadastro Mestre'!$A$5:$A$504,0)),""))</f>
        <v/>
      </c>
      <c r="F227" s="21"/>
      <c r="G227" s="21"/>
      <c r="H227" s="21"/>
      <c r="I227" s="21"/>
    </row>
    <row r="228" customFormat="false" ht="15" hidden="false" customHeight="false" outlineLevel="0" collapsed="false">
      <c r="A228" s="25"/>
      <c r="B228" s="21"/>
      <c r="C228" s="21"/>
      <c r="D228" s="26" t="str">
        <f aca="false">IF(C228="","",IFERROR(INDEX('Cadastro Mestre'!$C$5:$C$504,MATCH(C228,'Cadastro Mestre'!$A$5:$A$504,0)),"código não encontrado"))</f>
        <v/>
      </c>
      <c r="E228" s="24" t="str">
        <f aca="false">IF(C228="","",IFERROR(INDEX('Cadastro Mestre'!$Q$5:$Q$504,MATCH(C228,'Cadastro Mestre'!$A$5:$A$504,0)),""))</f>
        <v/>
      </c>
      <c r="F228" s="21"/>
      <c r="G228" s="21"/>
      <c r="H228" s="21"/>
      <c r="I228" s="21"/>
    </row>
    <row r="229" customFormat="false" ht="15" hidden="false" customHeight="false" outlineLevel="0" collapsed="false">
      <c r="A229" s="25"/>
      <c r="B229" s="21"/>
      <c r="C229" s="21"/>
      <c r="D229" s="26" t="str">
        <f aca="false">IF(C229="","",IFERROR(INDEX('Cadastro Mestre'!$C$5:$C$504,MATCH(C229,'Cadastro Mestre'!$A$5:$A$504,0)),"código não encontrado"))</f>
        <v/>
      </c>
      <c r="E229" s="24" t="str">
        <f aca="false">IF(C229="","",IFERROR(INDEX('Cadastro Mestre'!$Q$5:$Q$504,MATCH(C229,'Cadastro Mestre'!$A$5:$A$504,0)),""))</f>
        <v/>
      </c>
      <c r="F229" s="21"/>
      <c r="G229" s="21"/>
      <c r="H229" s="21"/>
      <c r="I229" s="21"/>
    </row>
    <row r="230" customFormat="false" ht="15" hidden="false" customHeight="false" outlineLevel="0" collapsed="false">
      <c r="A230" s="25"/>
      <c r="B230" s="21"/>
      <c r="C230" s="21"/>
      <c r="D230" s="26" t="str">
        <f aca="false">IF(C230="","",IFERROR(INDEX('Cadastro Mestre'!$C$5:$C$504,MATCH(C230,'Cadastro Mestre'!$A$5:$A$504,0)),"código não encontrado"))</f>
        <v/>
      </c>
      <c r="E230" s="24" t="str">
        <f aca="false">IF(C230="","",IFERROR(INDEX('Cadastro Mestre'!$Q$5:$Q$504,MATCH(C230,'Cadastro Mestre'!$A$5:$A$504,0)),""))</f>
        <v/>
      </c>
      <c r="F230" s="21"/>
      <c r="G230" s="21"/>
      <c r="H230" s="21"/>
      <c r="I230" s="21"/>
    </row>
    <row r="231" customFormat="false" ht="15" hidden="false" customHeight="false" outlineLevel="0" collapsed="false">
      <c r="A231" s="25"/>
      <c r="B231" s="21"/>
      <c r="C231" s="21"/>
      <c r="D231" s="26" t="str">
        <f aca="false">IF(C231="","",IFERROR(INDEX('Cadastro Mestre'!$C$5:$C$504,MATCH(C231,'Cadastro Mestre'!$A$5:$A$504,0)),"código não encontrado"))</f>
        <v/>
      </c>
      <c r="E231" s="24" t="str">
        <f aca="false">IF(C231="","",IFERROR(INDEX('Cadastro Mestre'!$Q$5:$Q$504,MATCH(C231,'Cadastro Mestre'!$A$5:$A$504,0)),""))</f>
        <v/>
      </c>
      <c r="F231" s="21"/>
      <c r="G231" s="21"/>
      <c r="H231" s="21"/>
      <c r="I231" s="21"/>
    </row>
    <row r="232" customFormat="false" ht="15" hidden="false" customHeight="false" outlineLevel="0" collapsed="false">
      <c r="A232" s="25"/>
      <c r="B232" s="21"/>
      <c r="C232" s="21"/>
      <c r="D232" s="26" t="str">
        <f aca="false">IF(C232="","",IFERROR(INDEX('Cadastro Mestre'!$C$5:$C$504,MATCH(C232,'Cadastro Mestre'!$A$5:$A$504,0)),"código não encontrado"))</f>
        <v/>
      </c>
      <c r="E232" s="24" t="str">
        <f aca="false">IF(C232="","",IFERROR(INDEX('Cadastro Mestre'!$Q$5:$Q$504,MATCH(C232,'Cadastro Mestre'!$A$5:$A$504,0)),""))</f>
        <v/>
      </c>
      <c r="F232" s="21"/>
      <c r="G232" s="21"/>
      <c r="H232" s="21"/>
      <c r="I232" s="21"/>
    </row>
    <row r="233" customFormat="false" ht="15" hidden="false" customHeight="false" outlineLevel="0" collapsed="false">
      <c r="A233" s="25"/>
      <c r="B233" s="21"/>
      <c r="C233" s="21"/>
      <c r="D233" s="26" t="str">
        <f aca="false">IF(C233="","",IFERROR(INDEX('Cadastro Mestre'!$C$5:$C$504,MATCH(C233,'Cadastro Mestre'!$A$5:$A$504,0)),"código não encontrado"))</f>
        <v/>
      </c>
      <c r="E233" s="24" t="str">
        <f aca="false">IF(C233="","",IFERROR(INDEX('Cadastro Mestre'!$Q$5:$Q$504,MATCH(C233,'Cadastro Mestre'!$A$5:$A$504,0)),""))</f>
        <v/>
      </c>
      <c r="F233" s="21"/>
      <c r="G233" s="21"/>
      <c r="H233" s="21"/>
      <c r="I233" s="21"/>
    </row>
    <row r="234" customFormat="false" ht="15" hidden="false" customHeight="false" outlineLevel="0" collapsed="false">
      <c r="A234" s="25"/>
      <c r="B234" s="21"/>
      <c r="C234" s="21"/>
      <c r="D234" s="26" t="str">
        <f aca="false">IF(C234="","",IFERROR(INDEX('Cadastro Mestre'!$C$5:$C$504,MATCH(C234,'Cadastro Mestre'!$A$5:$A$504,0)),"código não encontrado"))</f>
        <v/>
      </c>
      <c r="E234" s="24" t="str">
        <f aca="false">IF(C234="","",IFERROR(INDEX('Cadastro Mestre'!$Q$5:$Q$504,MATCH(C234,'Cadastro Mestre'!$A$5:$A$504,0)),""))</f>
        <v/>
      </c>
      <c r="F234" s="21"/>
      <c r="G234" s="21"/>
      <c r="H234" s="21"/>
      <c r="I234" s="21"/>
    </row>
    <row r="235" customFormat="false" ht="15" hidden="false" customHeight="false" outlineLevel="0" collapsed="false">
      <c r="A235" s="25"/>
      <c r="B235" s="21"/>
      <c r="C235" s="21"/>
      <c r="D235" s="26" t="str">
        <f aca="false">IF(C235="","",IFERROR(INDEX('Cadastro Mestre'!$C$5:$C$504,MATCH(C235,'Cadastro Mestre'!$A$5:$A$504,0)),"código não encontrado"))</f>
        <v/>
      </c>
      <c r="E235" s="24" t="str">
        <f aca="false">IF(C235="","",IFERROR(INDEX('Cadastro Mestre'!$Q$5:$Q$504,MATCH(C235,'Cadastro Mestre'!$A$5:$A$504,0)),""))</f>
        <v/>
      </c>
      <c r="F235" s="21"/>
      <c r="G235" s="21"/>
      <c r="H235" s="21"/>
      <c r="I235" s="21"/>
    </row>
    <row r="236" customFormat="false" ht="15" hidden="false" customHeight="false" outlineLevel="0" collapsed="false">
      <c r="A236" s="25"/>
      <c r="B236" s="21"/>
      <c r="C236" s="21"/>
      <c r="D236" s="26" t="str">
        <f aca="false">IF(C236="","",IFERROR(INDEX('Cadastro Mestre'!$C$5:$C$504,MATCH(C236,'Cadastro Mestre'!$A$5:$A$504,0)),"código não encontrado"))</f>
        <v/>
      </c>
      <c r="E236" s="24" t="str">
        <f aca="false">IF(C236="","",IFERROR(INDEX('Cadastro Mestre'!$Q$5:$Q$504,MATCH(C236,'Cadastro Mestre'!$A$5:$A$504,0)),""))</f>
        <v/>
      </c>
      <c r="F236" s="21"/>
      <c r="G236" s="21"/>
      <c r="H236" s="21"/>
      <c r="I236" s="21"/>
    </row>
    <row r="237" customFormat="false" ht="15" hidden="false" customHeight="false" outlineLevel="0" collapsed="false">
      <c r="A237" s="25"/>
      <c r="B237" s="21"/>
      <c r="C237" s="21"/>
      <c r="D237" s="26" t="str">
        <f aca="false">IF(C237="","",IFERROR(INDEX('Cadastro Mestre'!$C$5:$C$504,MATCH(C237,'Cadastro Mestre'!$A$5:$A$504,0)),"código não encontrado"))</f>
        <v/>
      </c>
      <c r="E237" s="24" t="str">
        <f aca="false">IF(C237="","",IFERROR(INDEX('Cadastro Mestre'!$Q$5:$Q$504,MATCH(C237,'Cadastro Mestre'!$A$5:$A$504,0)),""))</f>
        <v/>
      </c>
      <c r="F237" s="21"/>
      <c r="G237" s="21"/>
      <c r="H237" s="21"/>
      <c r="I237" s="21"/>
    </row>
    <row r="238" customFormat="false" ht="15" hidden="false" customHeight="false" outlineLevel="0" collapsed="false">
      <c r="A238" s="25"/>
      <c r="B238" s="21"/>
      <c r="C238" s="21"/>
      <c r="D238" s="26" t="str">
        <f aca="false">IF(C238="","",IFERROR(INDEX('Cadastro Mestre'!$C$5:$C$504,MATCH(C238,'Cadastro Mestre'!$A$5:$A$504,0)),"código não encontrado"))</f>
        <v/>
      </c>
      <c r="E238" s="24" t="str">
        <f aca="false">IF(C238="","",IFERROR(INDEX('Cadastro Mestre'!$Q$5:$Q$504,MATCH(C238,'Cadastro Mestre'!$A$5:$A$504,0)),""))</f>
        <v/>
      </c>
      <c r="F238" s="21"/>
      <c r="G238" s="21"/>
      <c r="H238" s="21"/>
      <c r="I238" s="21"/>
    </row>
    <row r="239" customFormat="false" ht="15" hidden="false" customHeight="false" outlineLevel="0" collapsed="false">
      <c r="A239" s="25"/>
      <c r="B239" s="21"/>
      <c r="C239" s="21"/>
      <c r="D239" s="26" t="str">
        <f aca="false">IF(C239="","",IFERROR(INDEX('Cadastro Mestre'!$C$5:$C$504,MATCH(C239,'Cadastro Mestre'!$A$5:$A$504,0)),"código não encontrado"))</f>
        <v/>
      </c>
      <c r="E239" s="24" t="str">
        <f aca="false">IF(C239="","",IFERROR(INDEX('Cadastro Mestre'!$Q$5:$Q$504,MATCH(C239,'Cadastro Mestre'!$A$5:$A$504,0)),""))</f>
        <v/>
      </c>
      <c r="F239" s="21"/>
      <c r="G239" s="21"/>
      <c r="H239" s="21"/>
      <c r="I239" s="21"/>
    </row>
    <row r="240" customFormat="false" ht="15" hidden="false" customHeight="false" outlineLevel="0" collapsed="false">
      <c r="A240" s="25"/>
      <c r="B240" s="21"/>
      <c r="C240" s="21"/>
      <c r="D240" s="26" t="str">
        <f aca="false">IF(C240="","",IFERROR(INDEX('Cadastro Mestre'!$C$5:$C$504,MATCH(C240,'Cadastro Mestre'!$A$5:$A$504,0)),"código não encontrado"))</f>
        <v/>
      </c>
      <c r="E240" s="24" t="str">
        <f aca="false">IF(C240="","",IFERROR(INDEX('Cadastro Mestre'!$Q$5:$Q$504,MATCH(C240,'Cadastro Mestre'!$A$5:$A$504,0)),""))</f>
        <v/>
      </c>
      <c r="F240" s="21"/>
      <c r="G240" s="21"/>
      <c r="H240" s="21"/>
      <c r="I240" s="21"/>
    </row>
    <row r="241" customFormat="false" ht="15" hidden="false" customHeight="false" outlineLevel="0" collapsed="false">
      <c r="A241" s="25"/>
      <c r="B241" s="21"/>
      <c r="C241" s="21"/>
      <c r="D241" s="26" t="str">
        <f aca="false">IF(C241="","",IFERROR(INDEX('Cadastro Mestre'!$C$5:$C$504,MATCH(C241,'Cadastro Mestre'!$A$5:$A$504,0)),"código não encontrado"))</f>
        <v/>
      </c>
      <c r="E241" s="24" t="str">
        <f aca="false">IF(C241="","",IFERROR(INDEX('Cadastro Mestre'!$Q$5:$Q$504,MATCH(C241,'Cadastro Mestre'!$A$5:$A$504,0)),""))</f>
        <v/>
      </c>
      <c r="F241" s="21"/>
      <c r="G241" s="21"/>
      <c r="H241" s="21"/>
      <c r="I241" s="21"/>
    </row>
    <row r="242" customFormat="false" ht="15" hidden="false" customHeight="false" outlineLevel="0" collapsed="false">
      <c r="A242" s="25"/>
      <c r="B242" s="21"/>
      <c r="C242" s="21"/>
      <c r="D242" s="26" t="str">
        <f aca="false">IF(C242="","",IFERROR(INDEX('Cadastro Mestre'!$C$5:$C$504,MATCH(C242,'Cadastro Mestre'!$A$5:$A$504,0)),"código não encontrado"))</f>
        <v/>
      </c>
      <c r="E242" s="24" t="str">
        <f aca="false">IF(C242="","",IFERROR(INDEX('Cadastro Mestre'!$Q$5:$Q$504,MATCH(C242,'Cadastro Mestre'!$A$5:$A$504,0)),""))</f>
        <v/>
      </c>
      <c r="F242" s="21"/>
      <c r="G242" s="21"/>
      <c r="H242" s="21"/>
      <c r="I242" s="21"/>
    </row>
    <row r="243" customFormat="false" ht="15" hidden="false" customHeight="false" outlineLevel="0" collapsed="false">
      <c r="A243" s="25"/>
      <c r="B243" s="21"/>
      <c r="C243" s="21"/>
      <c r="D243" s="26" t="str">
        <f aca="false">IF(C243="","",IFERROR(INDEX('Cadastro Mestre'!$C$5:$C$504,MATCH(C243,'Cadastro Mestre'!$A$5:$A$504,0)),"código não encontrado"))</f>
        <v/>
      </c>
      <c r="E243" s="24" t="str">
        <f aca="false">IF(C243="","",IFERROR(INDEX('Cadastro Mestre'!$Q$5:$Q$504,MATCH(C243,'Cadastro Mestre'!$A$5:$A$504,0)),""))</f>
        <v/>
      </c>
      <c r="F243" s="21"/>
      <c r="G243" s="21"/>
      <c r="H243" s="21"/>
      <c r="I243" s="21"/>
    </row>
    <row r="244" customFormat="false" ht="15" hidden="false" customHeight="false" outlineLevel="0" collapsed="false">
      <c r="A244" s="25"/>
      <c r="B244" s="21"/>
      <c r="C244" s="21"/>
      <c r="D244" s="26" t="str">
        <f aca="false">IF(C244="","",IFERROR(INDEX('Cadastro Mestre'!$C$5:$C$504,MATCH(C244,'Cadastro Mestre'!$A$5:$A$504,0)),"código não encontrado"))</f>
        <v/>
      </c>
      <c r="E244" s="24" t="str">
        <f aca="false">IF(C244="","",IFERROR(INDEX('Cadastro Mestre'!$Q$5:$Q$504,MATCH(C244,'Cadastro Mestre'!$A$5:$A$504,0)),""))</f>
        <v/>
      </c>
      <c r="F244" s="21"/>
      <c r="G244" s="21"/>
      <c r="H244" s="21"/>
      <c r="I244" s="21"/>
    </row>
    <row r="245" customFormat="false" ht="15" hidden="false" customHeight="false" outlineLevel="0" collapsed="false">
      <c r="A245" s="25"/>
      <c r="B245" s="21"/>
      <c r="C245" s="21"/>
      <c r="D245" s="26" t="str">
        <f aca="false">IF(C245="","",IFERROR(INDEX('Cadastro Mestre'!$C$5:$C$504,MATCH(C245,'Cadastro Mestre'!$A$5:$A$504,0)),"código não encontrado"))</f>
        <v/>
      </c>
      <c r="E245" s="24" t="str">
        <f aca="false">IF(C245="","",IFERROR(INDEX('Cadastro Mestre'!$Q$5:$Q$504,MATCH(C245,'Cadastro Mestre'!$A$5:$A$504,0)),""))</f>
        <v/>
      </c>
      <c r="F245" s="21"/>
      <c r="G245" s="21"/>
      <c r="H245" s="21"/>
      <c r="I245" s="21"/>
    </row>
    <row r="246" customFormat="false" ht="15" hidden="false" customHeight="false" outlineLevel="0" collapsed="false">
      <c r="A246" s="25"/>
      <c r="B246" s="21"/>
      <c r="C246" s="21"/>
      <c r="D246" s="26" t="str">
        <f aca="false">IF(C246="","",IFERROR(INDEX('Cadastro Mestre'!$C$5:$C$504,MATCH(C246,'Cadastro Mestre'!$A$5:$A$504,0)),"código não encontrado"))</f>
        <v/>
      </c>
      <c r="E246" s="24" t="str">
        <f aca="false">IF(C246="","",IFERROR(INDEX('Cadastro Mestre'!$Q$5:$Q$504,MATCH(C246,'Cadastro Mestre'!$A$5:$A$504,0)),""))</f>
        <v/>
      </c>
      <c r="F246" s="21"/>
      <c r="G246" s="21"/>
      <c r="H246" s="21"/>
      <c r="I246" s="21"/>
    </row>
    <row r="247" customFormat="false" ht="15" hidden="false" customHeight="false" outlineLevel="0" collapsed="false">
      <c r="A247" s="25"/>
      <c r="B247" s="21"/>
      <c r="C247" s="21"/>
      <c r="D247" s="26" t="str">
        <f aca="false">IF(C247="","",IFERROR(INDEX('Cadastro Mestre'!$C$5:$C$504,MATCH(C247,'Cadastro Mestre'!$A$5:$A$504,0)),"código não encontrado"))</f>
        <v/>
      </c>
      <c r="E247" s="24" t="str">
        <f aca="false">IF(C247="","",IFERROR(INDEX('Cadastro Mestre'!$Q$5:$Q$504,MATCH(C247,'Cadastro Mestre'!$A$5:$A$504,0)),""))</f>
        <v/>
      </c>
      <c r="F247" s="21"/>
      <c r="G247" s="21"/>
      <c r="H247" s="21"/>
      <c r="I247" s="21"/>
    </row>
    <row r="248" customFormat="false" ht="15" hidden="false" customHeight="false" outlineLevel="0" collapsed="false">
      <c r="A248" s="25"/>
      <c r="B248" s="21"/>
      <c r="C248" s="21"/>
      <c r="D248" s="26" t="str">
        <f aca="false">IF(C248="","",IFERROR(INDEX('Cadastro Mestre'!$C$5:$C$504,MATCH(C248,'Cadastro Mestre'!$A$5:$A$504,0)),"código não encontrado"))</f>
        <v/>
      </c>
      <c r="E248" s="24" t="str">
        <f aca="false">IF(C248="","",IFERROR(INDEX('Cadastro Mestre'!$Q$5:$Q$504,MATCH(C248,'Cadastro Mestre'!$A$5:$A$504,0)),""))</f>
        <v/>
      </c>
      <c r="F248" s="21"/>
      <c r="G248" s="21"/>
      <c r="H248" s="21"/>
      <c r="I248" s="21"/>
    </row>
    <row r="249" customFormat="false" ht="15" hidden="false" customHeight="false" outlineLevel="0" collapsed="false">
      <c r="A249" s="25"/>
      <c r="B249" s="21"/>
      <c r="C249" s="21"/>
      <c r="D249" s="26" t="str">
        <f aca="false">IF(C249="","",IFERROR(INDEX('Cadastro Mestre'!$C$5:$C$504,MATCH(C249,'Cadastro Mestre'!$A$5:$A$504,0)),"código não encontrado"))</f>
        <v/>
      </c>
      <c r="E249" s="24" t="str">
        <f aca="false">IF(C249="","",IFERROR(INDEX('Cadastro Mestre'!$Q$5:$Q$504,MATCH(C249,'Cadastro Mestre'!$A$5:$A$504,0)),""))</f>
        <v/>
      </c>
      <c r="F249" s="21"/>
      <c r="G249" s="21"/>
      <c r="H249" s="21"/>
      <c r="I249" s="21"/>
    </row>
    <row r="250" customFormat="false" ht="15" hidden="false" customHeight="false" outlineLevel="0" collapsed="false">
      <c r="A250" s="25"/>
      <c r="B250" s="21"/>
      <c r="C250" s="21"/>
      <c r="D250" s="26" t="str">
        <f aca="false">IF(C250="","",IFERROR(INDEX('Cadastro Mestre'!$C$5:$C$504,MATCH(C250,'Cadastro Mestre'!$A$5:$A$504,0)),"código não encontrado"))</f>
        <v/>
      </c>
      <c r="E250" s="24" t="str">
        <f aca="false">IF(C250="","",IFERROR(INDEX('Cadastro Mestre'!$Q$5:$Q$504,MATCH(C250,'Cadastro Mestre'!$A$5:$A$504,0)),""))</f>
        <v/>
      </c>
      <c r="F250" s="21"/>
      <c r="G250" s="21"/>
      <c r="H250" s="21"/>
      <c r="I250" s="21"/>
    </row>
    <row r="251" customFormat="false" ht="15" hidden="false" customHeight="false" outlineLevel="0" collapsed="false">
      <c r="A251" s="25"/>
      <c r="B251" s="21"/>
      <c r="C251" s="21"/>
      <c r="D251" s="26" t="str">
        <f aca="false">IF(C251="","",IFERROR(INDEX('Cadastro Mestre'!$C$5:$C$504,MATCH(C251,'Cadastro Mestre'!$A$5:$A$504,0)),"código não encontrado"))</f>
        <v/>
      </c>
      <c r="E251" s="24" t="str">
        <f aca="false">IF(C251="","",IFERROR(INDEX('Cadastro Mestre'!$Q$5:$Q$504,MATCH(C251,'Cadastro Mestre'!$A$5:$A$504,0)),""))</f>
        <v/>
      </c>
      <c r="F251" s="21"/>
      <c r="G251" s="21"/>
      <c r="H251" s="21"/>
      <c r="I251" s="21"/>
    </row>
    <row r="252" customFormat="false" ht="15" hidden="false" customHeight="false" outlineLevel="0" collapsed="false">
      <c r="A252" s="25"/>
      <c r="B252" s="21"/>
      <c r="C252" s="21"/>
      <c r="D252" s="26" t="str">
        <f aca="false">IF(C252="","",IFERROR(INDEX('Cadastro Mestre'!$C$5:$C$504,MATCH(C252,'Cadastro Mestre'!$A$5:$A$504,0)),"código não encontrado"))</f>
        <v/>
      </c>
      <c r="E252" s="24" t="str">
        <f aca="false">IF(C252="","",IFERROR(INDEX('Cadastro Mestre'!$Q$5:$Q$504,MATCH(C252,'Cadastro Mestre'!$A$5:$A$504,0)),""))</f>
        <v/>
      </c>
      <c r="F252" s="21"/>
      <c r="G252" s="21"/>
      <c r="H252" s="21"/>
      <c r="I252" s="21"/>
    </row>
    <row r="253" customFormat="false" ht="15" hidden="false" customHeight="false" outlineLevel="0" collapsed="false">
      <c r="A253" s="25"/>
      <c r="B253" s="21"/>
      <c r="C253" s="21"/>
      <c r="D253" s="26" t="str">
        <f aca="false">IF(C253="","",IFERROR(INDEX('Cadastro Mestre'!$C$5:$C$504,MATCH(C253,'Cadastro Mestre'!$A$5:$A$504,0)),"código não encontrado"))</f>
        <v/>
      </c>
      <c r="E253" s="24" t="str">
        <f aca="false">IF(C253="","",IFERROR(INDEX('Cadastro Mestre'!$Q$5:$Q$504,MATCH(C253,'Cadastro Mestre'!$A$5:$A$504,0)),""))</f>
        <v/>
      </c>
      <c r="F253" s="21"/>
      <c r="G253" s="21"/>
      <c r="H253" s="21"/>
      <c r="I253" s="21"/>
    </row>
    <row r="254" customFormat="false" ht="15" hidden="false" customHeight="false" outlineLevel="0" collapsed="false">
      <c r="A254" s="25"/>
      <c r="B254" s="21"/>
      <c r="C254" s="21"/>
      <c r="D254" s="26" t="str">
        <f aca="false">IF(C254="","",IFERROR(INDEX('Cadastro Mestre'!$C$5:$C$504,MATCH(C254,'Cadastro Mestre'!$A$5:$A$504,0)),"código não encontrado"))</f>
        <v/>
      </c>
      <c r="E254" s="24" t="str">
        <f aca="false">IF(C254="","",IFERROR(INDEX('Cadastro Mestre'!$Q$5:$Q$504,MATCH(C254,'Cadastro Mestre'!$A$5:$A$504,0)),""))</f>
        <v/>
      </c>
      <c r="F254" s="21"/>
      <c r="G254" s="21"/>
      <c r="H254" s="21"/>
      <c r="I254" s="21"/>
    </row>
    <row r="255" customFormat="false" ht="15" hidden="false" customHeight="false" outlineLevel="0" collapsed="false">
      <c r="A255" s="25"/>
      <c r="B255" s="21"/>
      <c r="C255" s="21"/>
      <c r="D255" s="26" t="str">
        <f aca="false">IF(C255="","",IFERROR(INDEX('Cadastro Mestre'!$C$5:$C$504,MATCH(C255,'Cadastro Mestre'!$A$5:$A$504,0)),"código não encontrado"))</f>
        <v/>
      </c>
      <c r="E255" s="24" t="str">
        <f aca="false">IF(C255="","",IFERROR(INDEX('Cadastro Mestre'!$Q$5:$Q$504,MATCH(C255,'Cadastro Mestre'!$A$5:$A$504,0)),""))</f>
        <v/>
      </c>
      <c r="F255" s="21"/>
      <c r="G255" s="21"/>
      <c r="H255" s="21"/>
      <c r="I255" s="21"/>
    </row>
    <row r="256" customFormat="false" ht="15" hidden="false" customHeight="false" outlineLevel="0" collapsed="false">
      <c r="A256" s="25"/>
      <c r="B256" s="21"/>
      <c r="C256" s="21"/>
      <c r="D256" s="26" t="str">
        <f aca="false">IF(C256="","",IFERROR(INDEX('Cadastro Mestre'!$C$5:$C$504,MATCH(C256,'Cadastro Mestre'!$A$5:$A$504,0)),"código não encontrado"))</f>
        <v/>
      </c>
      <c r="E256" s="24" t="str">
        <f aca="false">IF(C256="","",IFERROR(INDEX('Cadastro Mestre'!$Q$5:$Q$504,MATCH(C256,'Cadastro Mestre'!$A$5:$A$504,0)),""))</f>
        <v/>
      </c>
      <c r="F256" s="21"/>
      <c r="G256" s="21"/>
      <c r="H256" s="21"/>
      <c r="I256" s="21"/>
    </row>
    <row r="257" customFormat="false" ht="15" hidden="false" customHeight="false" outlineLevel="0" collapsed="false">
      <c r="A257" s="25"/>
      <c r="B257" s="21"/>
      <c r="C257" s="21"/>
      <c r="D257" s="26" t="str">
        <f aca="false">IF(C257="","",IFERROR(INDEX('Cadastro Mestre'!$C$5:$C$504,MATCH(C257,'Cadastro Mestre'!$A$5:$A$504,0)),"código não encontrado"))</f>
        <v/>
      </c>
      <c r="E257" s="24" t="str">
        <f aca="false">IF(C257="","",IFERROR(INDEX('Cadastro Mestre'!$Q$5:$Q$504,MATCH(C257,'Cadastro Mestre'!$A$5:$A$504,0)),""))</f>
        <v/>
      </c>
      <c r="F257" s="21"/>
      <c r="G257" s="21"/>
      <c r="H257" s="21"/>
      <c r="I257" s="21"/>
    </row>
    <row r="258" customFormat="false" ht="15" hidden="false" customHeight="false" outlineLevel="0" collapsed="false">
      <c r="A258" s="25"/>
      <c r="B258" s="21"/>
      <c r="C258" s="21"/>
      <c r="D258" s="26" t="str">
        <f aca="false">IF(C258="","",IFERROR(INDEX('Cadastro Mestre'!$C$5:$C$504,MATCH(C258,'Cadastro Mestre'!$A$5:$A$504,0)),"código não encontrado"))</f>
        <v/>
      </c>
      <c r="E258" s="24" t="str">
        <f aca="false">IF(C258="","",IFERROR(INDEX('Cadastro Mestre'!$Q$5:$Q$504,MATCH(C258,'Cadastro Mestre'!$A$5:$A$504,0)),""))</f>
        <v/>
      </c>
      <c r="F258" s="21"/>
      <c r="G258" s="21"/>
      <c r="H258" s="21"/>
      <c r="I258" s="21"/>
    </row>
    <row r="259" customFormat="false" ht="15" hidden="false" customHeight="false" outlineLevel="0" collapsed="false">
      <c r="A259" s="25"/>
      <c r="B259" s="21"/>
      <c r="C259" s="21"/>
      <c r="D259" s="26" t="str">
        <f aca="false">IF(C259="","",IFERROR(INDEX('Cadastro Mestre'!$C$5:$C$504,MATCH(C259,'Cadastro Mestre'!$A$5:$A$504,0)),"código não encontrado"))</f>
        <v/>
      </c>
      <c r="E259" s="24" t="str">
        <f aca="false">IF(C259="","",IFERROR(INDEX('Cadastro Mestre'!$Q$5:$Q$504,MATCH(C259,'Cadastro Mestre'!$A$5:$A$504,0)),""))</f>
        <v/>
      </c>
      <c r="F259" s="21"/>
      <c r="G259" s="21"/>
      <c r="H259" s="21"/>
      <c r="I259" s="21"/>
    </row>
    <row r="260" customFormat="false" ht="15" hidden="false" customHeight="false" outlineLevel="0" collapsed="false">
      <c r="A260" s="25"/>
      <c r="B260" s="21"/>
      <c r="C260" s="21"/>
      <c r="D260" s="26" t="str">
        <f aca="false">IF(C260="","",IFERROR(INDEX('Cadastro Mestre'!$C$5:$C$504,MATCH(C260,'Cadastro Mestre'!$A$5:$A$504,0)),"código não encontrado"))</f>
        <v/>
      </c>
      <c r="E260" s="24" t="str">
        <f aca="false">IF(C260="","",IFERROR(INDEX('Cadastro Mestre'!$Q$5:$Q$504,MATCH(C260,'Cadastro Mestre'!$A$5:$A$504,0)),""))</f>
        <v/>
      </c>
      <c r="F260" s="21"/>
      <c r="G260" s="21"/>
      <c r="H260" s="21"/>
      <c r="I260" s="21"/>
    </row>
    <row r="261" customFormat="false" ht="15" hidden="false" customHeight="false" outlineLevel="0" collapsed="false">
      <c r="A261" s="25"/>
      <c r="B261" s="21"/>
      <c r="C261" s="21"/>
      <c r="D261" s="26" t="str">
        <f aca="false">IF(C261="","",IFERROR(INDEX('Cadastro Mestre'!$C$5:$C$504,MATCH(C261,'Cadastro Mestre'!$A$5:$A$504,0)),"código não encontrado"))</f>
        <v/>
      </c>
      <c r="E261" s="24" t="str">
        <f aca="false">IF(C261="","",IFERROR(INDEX('Cadastro Mestre'!$Q$5:$Q$504,MATCH(C261,'Cadastro Mestre'!$A$5:$A$504,0)),""))</f>
        <v/>
      </c>
      <c r="F261" s="21"/>
      <c r="G261" s="21"/>
      <c r="H261" s="21"/>
      <c r="I261" s="21"/>
    </row>
    <row r="262" customFormat="false" ht="15" hidden="false" customHeight="false" outlineLevel="0" collapsed="false">
      <c r="A262" s="25"/>
      <c r="B262" s="21"/>
      <c r="C262" s="21"/>
      <c r="D262" s="26" t="str">
        <f aca="false">IF(C262="","",IFERROR(INDEX('Cadastro Mestre'!$C$5:$C$504,MATCH(C262,'Cadastro Mestre'!$A$5:$A$504,0)),"código não encontrado"))</f>
        <v/>
      </c>
      <c r="E262" s="24" t="str">
        <f aca="false">IF(C262="","",IFERROR(INDEX('Cadastro Mestre'!$Q$5:$Q$504,MATCH(C262,'Cadastro Mestre'!$A$5:$A$504,0)),""))</f>
        <v/>
      </c>
      <c r="F262" s="21"/>
      <c r="G262" s="21"/>
      <c r="H262" s="21"/>
      <c r="I262" s="21"/>
    </row>
    <row r="263" customFormat="false" ht="15" hidden="false" customHeight="false" outlineLevel="0" collapsed="false">
      <c r="A263" s="25"/>
      <c r="B263" s="21"/>
      <c r="C263" s="21"/>
      <c r="D263" s="26" t="str">
        <f aca="false">IF(C263="","",IFERROR(INDEX('Cadastro Mestre'!$C$5:$C$504,MATCH(C263,'Cadastro Mestre'!$A$5:$A$504,0)),"código não encontrado"))</f>
        <v/>
      </c>
      <c r="E263" s="24" t="str">
        <f aca="false">IF(C263="","",IFERROR(INDEX('Cadastro Mestre'!$Q$5:$Q$504,MATCH(C263,'Cadastro Mestre'!$A$5:$A$504,0)),""))</f>
        <v/>
      </c>
      <c r="F263" s="21"/>
      <c r="G263" s="21"/>
      <c r="H263" s="21"/>
      <c r="I263" s="21"/>
    </row>
    <row r="264" customFormat="false" ht="15" hidden="false" customHeight="false" outlineLevel="0" collapsed="false">
      <c r="A264" s="25"/>
      <c r="B264" s="21"/>
      <c r="C264" s="21"/>
      <c r="D264" s="26" t="str">
        <f aca="false">IF(C264="","",IFERROR(INDEX('Cadastro Mestre'!$C$5:$C$504,MATCH(C264,'Cadastro Mestre'!$A$5:$A$504,0)),"código não encontrado"))</f>
        <v/>
      </c>
      <c r="E264" s="24" t="str">
        <f aca="false">IF(C264="","",IFERROR(INDEX('Cadastro Mestre'!$Q$5:$Q$504,MATCH(C264,'Cadastro Mestre'!$A$5:$A$504,0)),""))</f>
        <v/>
      </c>
      <c r="F264" s="21"/>
      <c r="G264" s="21"/>
      <c r="H264" s="21"/>
      <c r="I264" s="21"/>
    </row>
    <row r="265" customFormat="false" ht="15" hidden="false" customHeight="false" outlineLevel="0" collapsed="false">
      <c r="A265" s="25"/>
      <c r="B265" s="21"/>
      <c r="C265" s="21"/>
      <c r="D265" s="26" t="str">
        <f aca="false">IF(C265="","",IFERROR(INDEX('Cadastro Mestre'!$C$5:$C$504,MATCH(C265,'Cadastro Mestre'!$A$5:$A$504,0)),"código não encontrado"))</f>
        <v/>
      </c>
      <c r="E265" s="24" t="str">
        <f aca="false">IF(C265="","",IFERROR(INDEX('Cadastro Mestre'!$Q$5:$Q$504,MATCH(C265,'Cadastro Mestre'!$A$5:$A$504,0)),""))</f>
        <v/>
      </c>
      <c r="F265" s="21"/>
      <c r="G265" s="21"/>
      <c r="H265" s="21"/>
      <c r="I265" s="21"/>
    </row>
    <row r="266" customFormat="false" ht="15" hidden="false" customHeight="false" outlineLevel="0" collapsed="false">
      <c r="A266" s="25"/>
      <c r="B266" s="21"/>
      <c r="C266" s="21"/>
      <c r="D266" s="26" t="str">
        <f aca="false">IF(C266="","",IFERROR(INDEX('Cadastro Mestre'!$C$5:$C$504,MATCH(C266,'Cadastro Mestre'!$A$5:$A$504,0)),"código não encontrado"))</f>
        <v/>
      </c>
      <c r="E266" s="24" t="str">
        <f aca="false">IF(C266="","",IFERROR(INDEX('Cadastro Mestre'!$Q$5:$Q$504,MATCH(C266,'Cadastro Mestre'!$A$5:$A$504,0)),""))</f>
        <v/>
      </c>
      <c r="F266" s="21"/>
      <c r="G266" s="21"/>
      <c r="H266" s="21"/>
      <c r="I266" s="21"/>
    </row>
    <row r="267" customFormat="false" ht="15" hidden="false" customHeight="false" outlineLevel="0" collapsed="false">
      <c r="A267" s="25"/>
      <c r="B267" s="21"/>
      <c r="C267" s="21"/>
      <c r="D267" s="26" t="str">
        <f aca="false">IF(C267="","",IFERROR(INDEX('Cadastro Mestre'!$C$5:$C$504,MATCH(C267,'Cadastro Mestre'!$A$5:$A$504,0)),"código não encontrado"))</f>
        <v/>
      </c>
      <c r="E267" s="24" t="str">
        <f aca="false">IF(C267="","",IFERROR(INDEX('Cadastro Mestre'!$Q$5:$Q$504,MATCH(C267,'Cadastro Mestre'!$A$5:$A$504,0)),""))</f>
        <v/>
      </c>
      <c r="F267" s="21"/>
      <c r="G267" s="21"/>
      <c r="H267" s="21"/>
      <c r="I267" s="21"/>
    </row>
    <row r="268" customFormat="false" ht="15" hidden="false" customHeight="false" outlineLevel="0" collapsed="false">
      <c r="A268" s="25"/>
      <c r="B268" s="21"/>
      <c r="C268" s="21"/>
      <c r="D268" s="26" t="str">
        <f aca="false">IF(C268="","",IFERROR(INDEX('Cadastro Mestre'!$C$5:$C$504,MATCH(C268,'Cadastro Mestre'!$A$5:$A$504,0)),"código não encontrado"))</f>
        <v/>
      </c>
      <c r="E268" s="24" t="str">
        <f aca="false">IF(C268="","",IFERROR(INDEX('Cadastro Mestre'!$Q$5:$Q$504,MATCH(C268,'Cadastro Mestre'!$A$5:$A$504,0)),""))</f>
        <v/>
      </c>
      <c r="F268" s="21"/>
      <c r="G268" s="21"/>
      <c r="H268" s="21"/>
      <c r="I268" s="21"/>
    </row>
    <row r="269" customFormat="false" ht="15" hidden="false" customHeight="false" outlineLevel="0" collapsed="false">
      <c r="A269" s="25"/>
      <c r="B269" s="21"/>
      <c r="C269" s="21"/>
      <c r="D269" s="26" t="str">
        <f aca="false">IF(C269="","",IFERROR(INDEX('Cadastro Mestre'!$C$5:$C$504,MATCH(C269,'Cadastro Mestre'!$A$5:$A$504,0)),"código não encontrado"))</f>
        <v/>
      </c>
      <c r="E269" s="24" t="str">
        <f aca="false">IF(C269="","",IFERROR(INDEX('Cadastro Mestre'!$Q$5:$Q$504,MATCH(C269,'Cadastro Mestre'!$A$5:$A$504,0)),""))</f>
        <v/>
      </c>
      <c r="F269" s="21"/>
      <c r="G269" s="21"/>
      <c r="H269" s="21"/>
      <c r="I269" s="21"/>
    </row>
    <row r="270" customFormat="false" ht="15" hidden="false" customHeight="false" outlineLevel="0" collapsed="false">
      <c r="A270" s="25"/>
      <c r="B270" s="21"/>
      <c r="C270" s="21"/>
      <c r="D270" s="26" t="str">
        <f aca="false">IF(C270="","",IFERROR(INDEX('Cadastro Mestre'!$C$5:$C$504,MATCH(C270,'Cadastro Mestre'!$A$5:$A$504,0)),"código não encontrado"))</f>
        <v/>
      </c>
      <c r="E270" s="24" t="str">
        <f aca="false">IF(C270="","",IFERROR(INDEX('Cadastro Mestre'!$Q$5:$Q$504,MATCH(C270,'Cadastro Mestre'!$A$5:$A$504,0)),""))</f>
        <v/>
      </c>
      <c r="F270" s="21"/>
      <c r="G270" s="21"/>
      <c r="H270" s="21"/>
      <c r="I270" s="21"/>
    </row>
    <row r="271" customFormat="false" ht="15" hidden="false" customHeight="false" outlineLevel="0" collapsed="false">
      <c r="A271" s="25"/>
      <c r="B271" s="21"/>
      <c r="C271" s="21"/>
      <c r="D271" s="26" t="str">
        <f aca="false">IF(C271="","",IFERROR(INDEX('Cadastro Mestre'!$C$5:$C$504,MATCH(C271,'Cadastro Mestre'!$A$5:$A$504,0)),"código não encontrado"))</f>
        <v/>
      </c>
      <c r="E271" s="24" t="str">
        <f aca="false">IF(C271="","",IFERROR(INDEX('Cadastro Mestre'!$Q$5:$Q$504,MATCH(C271,'Cadastro Mestre'!$A$5:$A$504,0)),""))</f>
        <v/>
      </c>
      <c r="F271" s="21"/>
      <c r="G271" s="21"/>
      <c r="H271" s="21"/>
      <c r="I271" s="21"/>
    </row>
    <row r="272" customFormat="false" ht="15" hidden="false" customHeight="false" outlineLevel="0" collapsed="false">
      <c r="A272" s="25"/>
      <c r="B272" s="21"/>
      <c r="C272" s="21"/>
      <c r="D272" s="26" t="str">
        <f aca="false">IF(C272="","",IFERROR(INDEX('Cadastro Mestre'!$C$5:$C$504,MATCH(C272,'Cadastro Mestre'!$A$5:$A$504,0)),"código não encontrado"))</f>
        <v/>
      </c>
      <c r="E272" s="24" t="str">
        <f aca="false">IF(C272="","",IFERROR(INDEX('Cadastro Mestre'!$Q$5:$Q$504,MATCH(C272,'Cadastro Mestre'!$A$5:$A$504,0)),""))</f>
        <v/>
      </c>
      <c r="F272" s="21"/>
      <c r="G272" s="21"/>
      <c r="H272" s="21"/>
      <c r="I272" s="21"/>
    </row>
    <row r="273" customFormat="false" ht="15" hidden="false" customHeight="false" outlineLevel="0" collapsed="false">
      <c r="A273" s="25"/>
      <c r="B273" s="21"/>
      <c r="C273" s="21"/>
      <c r="D273" s="26" t="str">
        <f aca="false">IF(C273="","",IFERROR(INDEX('Cadastro Mestre'!$C$5:$C$504,MATCH(C273,'Cadastro Mestre'!$A$5:$A$504,0)),"código não encontrado"))</f>
        <v/>
      </c>
      <c r="E273" s="24" t="str">
        <f aca="false">IF(C273="","",IFERROR(INDEX('Cadastro Mestre'!$Q$5:$Q$504,MATCH(C273,'Cadastro Mestre'!$A$5:$A$504,0)),""))</f>
        <v/>
      </c>
      <c r="F273" s="21"/>
      <c r="G273" s="21"/>
      <c r="H273" s="21"/>
      <c r="I273" s="21"/>
    </row>
    <row r="274" customFormat="false" ht="15" hidden="false" customHeight="false" outlineLevel="0" collapsed="false">
      <c r="A274" s="25"/>
      <c r="B274" s="21"/>
      <c r="C274" s="21"/>
      <c r="D274" s="26" t="str">
        <f aca="false">IF(C274="","",IFERROR(INDEX('Cadastro Mestre'!$C$5:$C$504,MATCH(C274,'Cadastro Mestre'!$A$5:$A$504,0)),"código não encontrado"))</f>
        <v/>
      </c>
      <c r="E274" s="24" t="str">
        <f aca="false">IF(C274="","",IFERROR(INDEX('Cadastro Mestre'!$Q$5:$Q$504,MATCH(C274,'Cadastro Mestre'!$A$5:$A$504,0)),""))</f>
        <v/>
      </c>
      <c r="F274" s="21"/>
      <c r="G274" s="21"/>
      <c r="H274" s="21"/>
      <c r="I274" s="21"/>
    </row>
    <row r="275" customFormat="false" ht="15" hidden="false" customHeight="false" outlineLevel="0" collapsed="false">
      <c r="A275" s="25"/>
      <c r="B275" s="21"/>
      <c r="C275" s="21"/>
      <c r="D275" s="26" t="str">
        <f aca="false">IF(C275="","",IFERROR(INDEX('Cadastro Mestre'!$C$5:$C$504,MATCH(C275,'Cadastro Mestre'!$A$5:$A$504,0)),"código não encontrado"))</f>
        <v/>
      </c>
      <c r="E275" s="24" t="str">
        <f aca="false">IF(C275="","",IFERROR(INDEX('Cadastro Mestre'!$Q$5:$Q$504,MATCH(C275,'Cadastro Mestre'!$A$5:$A$504,0)),""))</f>
        <v/>
      </c>
      <c r="F275" s="21"/>
      <c r="G275" s="21"/>
      <c r="H275" s="21"/>
      <c r="I275" s="21"/>
    </row>
    <row r="276" customFormat="false" ht="15" hidden="false" customHeight="false" outlineLevel="0" collapsed="false">
      <c r="A276" s="25"/>
      <c r="B276" s="21"/>
      <c r="C276" s="21"/>
      <c r="D276" s="26" t="str">
        <f aca="false">IF(C276="","",IFERROR(INDEX('Cadastro Mestre'!$C$5:$C$504,MATCH(C276,'Cadastro Mestre'!$A$5:$A$504,0)),"código não encontrado"))</f>
        <v/>
      </c>
      <c r="E276" s="24" t="str">
        <f aca="false">IF(C276="","",IFERROR(INDEX('Cadastro Mestre'!$Q$5:$Q$504,MATCH(C276,'Cadastro Mestre'!$A$5:$A$504,0)),""))</f>
        <v/>
      </c>
      <c r="F276" s="21"/>
      <c r="G276" s="21"/>
      <c r="H276" s="21"/>
      <c r="I276" s="21"/>
    </row>
    <row r="277" customFormat="false" ht="15" hidden="false" customHeight="false" outlineLevel="0" collapsed="false">
      <c r="A277" s="25"/>
      <c r="B277" s="21"/>
      <c r="C277" s="21"/>
      <c r="D277" s="26" t="str">
        <f aca="false">IF(C277="","",IFERROR(INDEX('Cadastro Mestre'!$C$5:$C$504,MATCH(C277,'Cadastro Mestre'!$A$5:$A$504,0)),"código não encontrado"))</f>
        <v/>
      </c>
      <c r="E277" s="24" t="str">
        <f aca="false">IF(C277="","",IFERROR(INDEX('Cadastro Mestre'!$Q$5:$Q$504,MATCH(C277,'Cadastro Mestre'!$A$5:$A$504,0)),""))</f>
        <v/>
      </c>
      <c r="F277" s="21"/>
      <c r="G277" s="21"/>
      <c r="H277" s="21"/>
      <c r="I277" s="21"/>
    </row>
    <row r="278" customFormat="false" ht="15" hidden="false" customHeight="false" outlineLevel="0" collapsed="false">
      <c r="A278" s="25"/>
      <c r="B278" s="21"/>
      <c r="C278" s="21"/>
      <c r="D278" s="26" t="str">
        <f aca="false">IF(C278="","",IFERROR(INDEX('Cadastro Mestre'!$C$5:$C$504,MATCH(C278,'Cadastro Mestre'!$A$5:$A$504,0)),"código não encontrado"))</f>
        <v/>
      </c>
      <c r="E278" s="24" t="str">
        <f aca="false">IF(C278="","",IFERROR(INDEX('Cadastro Mestre'!$Q$5:$Q$504,MATCH(C278,'Cadastro Mestre'!$A$5:$A$504,0)),""))</f>
        <v/>
      </c>
      <c r="F278" s="21"/>
      <c r="G278" s="21"/>
      <c r="H278" s="21"/>
      <c r="I278" s="21"/>
    </row>
    <row r="279" customFormat="false" ht="15" hidden="false" customHeight="false" outlineLevel="0" collapsed="false">
      <c r="A279" s="25"/>
      <c r="B279" s="21"/>
      <c r="C279" s="21"/>
      <c r="D279" s="26" t="str">
        <f aca="false">IF(C279="","",IFERROR(INDEX('Cadastro Mestre'!$C$5:$C$504,MATCH(C279,'Cadastro Mestre'!$A$5:$A$504,0)),"código não encontrado"))</f>
        <v/>
      </c>
      <c r="E279" s="24" t="str">
        <f aca="false">IF(C279="","",IFERROR(INDEX('Cadastro Mestre'!$Q$5:$Q$504,MATCH(C279,'Cadastro Mestre'!$A$5:$A$504,0)),""))</f>
        <v/>
      </c>
      <c r="F279" s="21"/>
      <c r="G279" s="21"/>
      <c r="H279" s="21"/>
      <c r="I279" s="21"/>
    </row>
    <row r="280" customFormat="false" ht="15" hidden="false" customHeight="false" outlineLevel="0" collapsed="false">
      <c r="A280" s="25"/>
      <c r="B280" s="21"/>
      <c r="C280" s="21"/>
      <c r="D280" s="26" t="str">
        <f aca="false">IF(C280="","",IFERROR(INDEX('Cadastro Mestre'!$C$5:$C$504,MATCH(C280,'Cadastro Mestre'!$A$5:$A$504,0)),"código não encontrado"))</f>
        <v/>
      </c>
      <c r="E280" s="24" t="str">
        <f aca="false">IF(C280="","",IFERROR(INDEX('Cadastro Mestre'!$Q$5:$Q$504,MATCH(C280,'Cadastro Mestre'!$A$5:$A$504,0)),""))</f>
        <v/>
      </c>
      <c r="F280" s="21"/>
      <c r="G280" s="21"/>
      <c r="H280" s="21"/>
      <c r="I280" s="21"/>
    </row>
    <row r="281" customFormat="false" ht="15" hidden="false" customHeight="false" outlineLevel="0" collapsed="false">
      <c r="A281" s="25"/>
      <c r="B281" s="21"/>
      <c r="C281" s="21"/>
      <c r="D281" s="26" t="str">
        <f aca="false">IF(C281="","",IFERROR(INDEX('Cadastro Mestre'!$C$5:$C$504,MATCH(C281,'Cadastro Mestre'!$A$5:$A$504,0)),"código não encontrado"))</f>
        <v/>
      </c>
      <c r="E281" s="24" t="str">
        <f aca="false">IF(C281="","",IFERROR(INDEX('Cadastro Mestre'!$Q$5:$Q$504,MATCH(C281,'Cadastro Mestre'!$A$5:$A$504,0)),""))</f>
        <v/>
      </c>
      <c r="F281" s="21"/>
      <c r="G281" s="21"/>
      <c r="H281" s="21"/>
      <c r="I281" s="21"/>
    </row>
    <row r="282" customFormat="false" ht="15" hidden="false" customHeight="false" outlineLevel="0" collapsed="false">
      <c r="A282" s="25"/>
      <c r="B282" s="21"/>
      <c r="C282" s="21"/>
      <c r="D282" s="26" t="str">
        <f aca="false">IF(C282="","",IFERROR(INDEX('Cadastro Mestre'!$C$5:$C$504,MATCH(C282,'Cadastro Mestre'!$A$5:$A$504,0)),"código não encontrado"))</f>
        <v/>
      </c>
      <c r="E282" s="24" t="str">
        <f aca="false">IF(C282="","",IFERROR(INDEX('Cadastro Mestre'!$Q$5:$Q$504,MATCH(C282,'Cadastro Mestre'!$A$5:$A$504,0)),""))</f>
        <v/>
      </c>
      <c r="F282" s="21"/>
      <c r="G282" s="21"/>
      <c r="H282" s="21"/>
      <c r="I282" s="21"/>
    </row>
    <row r="283" customFormat="false" ht="15" hidden="false" customHeight="false" outlineLevel="0" collapsed="false">
      <c r="A283" s="25"/>
      <c r="B283" s="21"/>
      <c r="C283" s="21"/>
      <c r="D283" s="26" t="str">
        <f aca="false">IF(C283="","",IFERROR(INDEX('Cadastro Mestre'!$C$5:$C$504,MATCH(C283,'Cadastro Mestre'!$A$5:$A$504,0)),"código não encontrado"))</f>
        <v/>
      </c>
      <c r="E283" s="24" t="str">
        <f aca="false">IF(C283="","",IFERROR(INDEX('Cadastro Mestre'!$Q$5:$Q$504,MATCH(C283,'Cadastro Mestre'!$A$5:$A$504,0)),""))</f>
        <v/>
      </c>
      <c r="F283" s="21"/>
      <c r="G283" s="21"/>
      <c r="H283" s="21"/>
      <c r="I283" s="21"/>
    </row>
    <row r="284" customFormat="false" ht="15" hidden="false" customHeight="false" outlineLevel="0" collapsed="false">
      <c r="A284" s="25"/>
      <c r="B284" s="21"/>
      <c r="C284" s="21"/>
      <c r="D284" s="26" t="str">
        <f aca="false">IF(C284="","",IFERROR(INDEX('Cadastro Mestre'!$C$5:$C$504,MATCH(C284,'Cadastro Mestre'!$A$5:$A$504,0)),"código não encontrado"))</f>
        <v/>
      </c>
      <c r="E284" s="24" t="str">
        <f aca="false">IF(C284="","",IFERROR(INDEX('Cadastro Mestre'!$Q$5:$Q$504,MATCH(C284,'Cadastro Mestre'!$A$5:$A$504,0)),""))</f>
        <v/>
      </c>
      <c r="F284" s="21"/>
      <c r="G284" s="21"/>
      <c r="H284" s="21"/>
      <c r="I284" s="21"/>
    </row>
    <row r="285" customFormat="false" ht="15" hidden="false" customHeight="false" outlineLevel="0" collapsed="false">
      <c r="A285" s="25"/>
      <c r="B285" s="21"/>
      <c r="C285" s="21"/>
      <c r="D285" s="26" t="str">
        <f aca="false">IF(C285="","",IFERROR(INDEX('Cadastro Mestre'!$C$5:$C$504,MATCH(C285,'Cadastro Mestre'!$A$5:$A$504,0)),"código não encontrado"))</f>
        <v/>
      </c>
      <c r="E285" s="24" t="str">
        <f aca="false">IF(C285="","",IFERROR(INDEX('Cadastro Mestre'!$Q$5:$Q$504,MATCH(C285,'Cadastro Mestre'!$A$5:$A$504,0)),""))</f>
        <v/>
      </c>
      <c r="F285" s="21"/>
      <c r="G285" s="21"/>
      <c r="H285" s="21"/>
      <c r="I285" s="21"/>
    </row>
    <row r="286" customFormat="false" ht="15" hidden="false" customHeight="false" outlineLevel="0" collapsed="false">
      <c r="A286" s="25"/>
      <c r="B286" s="21"/>
      <c r="C286" s="21"/>
      <c r="D286" s="26" t="str">
        <f aca="false">IF(C286="","",IFERROR(INDEX('Cadastro Mestre'!$C$5:$C$504,MATCH(C286,'Cadastro Mestre'!$A$5:$A$504,0)),"código não encontrado"))</f>
        <v/>
      </c>
      <c r="E286" s="24" t="str">
        <f aca="false">IF(C286="","",IFERROR(INDEX('Cadastro Mestre'!$Q$5:$Q$504,MATCH(C286,'Cadastro Mestre'!$A$5:$A$504,0)),""))</f>
        <v/>
      </c>
      <c r="F286" s="21"/>
      <c r="G286" s="21"/>
      <c r="H286" s="21"/>
      <c r="I286" s="21"/>
    </row>
    <row r="287" customFormat="false" ht="15" hidden="false" customHeight="false" outlineLevel="0" collapsed="false">
      <c r="A287" s="25"/>
      <c r="B287" s="21"/>
      <c r="C287" s="21"/>
      <c r="D287" s="26" t="str">
        <f aca="false">IF(C287="","",IFERROR(INDEX('Cadastro Mestre'!$C$5:$C$504,MATCH(C287,'Cadastro Mestre'!$A$5:$A$504,0)),"código não encontrado"))</f>
        <v/>
      </c>
      <c r="E287" s="24" t="str">
        <f aca="false">IF(C287="","",IFERROR(INDEX('Cadastro Mestre'!$Q$5:$Q$504,MATCH(C287,'Cadastro Mestre'!$A$5:$A$504,0)),""))</f>
        <v/>
      </c>
      <c r="F287" s="21"/>
      <c r="G287" s="21"/>
      <c r="H287" s="21"/>
      <c r="I287" s="21"/>
    </row>
    <row r="288" customFormat="false" ht="15" hidden="false" customHeight="false" outlineLevel="0" collapsed="false">
      <c r="A288" s="25"/>
      <c r="B288" s="21"/>
      <c r="C288" s="21"/>
      <c r="D288" s="26" t="str">
        <f aca="false">IF(C288="","",IFERROR(INDEX('Cadastro Mestre'!$C$5:$C$504,MATCH(C288,'Cadastro Mestre'!$A$5:$A$504,0)),"código não encontrado"))</f>
        <v/>
      </c>
      <c r="E288" s="24" t="str">
        <f aca="false">IF(C288="","",IFERROR(INDEX('Cadastro Mestre'!$Q$5:$Q$504,MATCH(C288,'Cadastro Mestre'!$A$5:$A$504,0)),""))</f>
        <v/>
      </c>
      <c r="F288" s="21"/>
      <c r="G288" s="21"/>
      <c r="H288" s="21"/>
      <c r="I288" s="21"/>
    </row>
    <row r="289" customFormat="false" ht="15" hidden="false" customHeight="false" outlineLevel="0" collapsed="false">
      <c r="A289" s="25"/>
      <c r="B289" s="21"/>
      <c r="C289" s="21"/>
      <c r="D289" s="26" t="str">
        <f aca="false">IF(C289="","",IFERROR(INDEX('Cadastro Mestre'!$C$5:$C$504,MATCH(C289,'Cadastro Mestre'!$A$5:$A$504,0)),"código não encontrado"))</f>
        <v/>
      </c>
      <c r="E289" s="24" t="str">
        <f aca="false">IF(C289="","",IFERROR(INDEX('Cadastro Mestre'!$Q$5:$Q$504,MATCH(C289,'Cadastro Mestre'!$A$5:$A$504,0)),""))</f>
        <v/>
      </c>
      <c r="F289" s="21"/>
      <c r="G289" s="21"/>
      <c r="H289" s="21"/>
      <c r="I289" s="21"/>
    </row>
    <row r="290" customFormat="false" ht="15" hidden="false" customHeight="false" outlineLevel="0" collapsed="false">
      <c r="A290" s="25"/>
      <c r="B290" s="21"/>
      <c r="C290" s="21"/>
      <c r="D290" s="26" t="str">
        <f aca="false">IF(C290="","",IFERROR(INDEX('Cadastro Mestre'!$C$5:$C$504,MATCH(C290,'Cadastro Mestre'!$A$5:$A$504,0)),"código não encontrado"))</f>
        <v/>
      </c>
      <c r="E290" s="24" t="str">
        <f aca="false">IF(C290="","",IFERROR(INDEX('Cadastro Mestre'!$Q$5:$Q$504,MATCH(C290,'Cadastro Mestre'!$A$5:$A$504,0)),""))</f>
        <v/>
      </c>
      <c r="F290" s="21"/>
      <c r="G290" s="21"/>
      <c r="H290" s="21"/>
      <c r="I290" s="21"/>
    </row>
    <row r="291" customFormat="false" ht="15" hidden="false" customHeight="false" outlineLevel="0" collapsed="false">
      <c r="A291" s="25"/>
      <c r="B291" s="21"/>
      <c r="C291" s="21"/>
      <c r="D291" s="26" t="str">
        <f aca="false">IF(C291="","",IFERROR(INDEX('Cadastro Mestre'!$C$5:$C$504,MATCH(C291,'Cadastro Mestre'!$A$5:$A$504,0)),"código não encontrado"))</f>
        <v/>
      </c>
      <c r="E291" s="24" t="str">
        <f aca="false">IF(C291="","",IFERROR(INDEX('Cadastro Mestre'!$Q$5:$Q$504,MATCH(C291,'Cadastro Mestre'!$A$5:$A$504,0)),""))</f>
        <v/>
      </c>
      <c r="F291" s="21"/>
      <c r="G291" s="21"/>
      <c r="H291" s="21"/>
      <c r="I291" s="21"/>
    </row>
    <row r="292" customFormat="false" ht="15" hidden="false" customHeight="false" outlineLevel="0" collapsed="false">
      <c r="A292" s="25"/>
      <c r="B292" s="21"/>
      <c r="C292" s="21"/>
      <c r="D292" s="26" t="str">
        <f aca="false">IF(C292="","",IFERROR(INDEX('Cadastro Mestre'!$C$5:$C$504,MATCH(C292,'Cadastro Mestre'!$A$5:$A$504,0)),"código não encontrado"))</f>
        <v/>
      </c>
      <c r="E292" s="24" t="str">
        <f aca="false">IF(C292="","",IFERROR(INDEX('Cadastro Mestre'!$Q$5:$Q$504,MATCH(C292,'Cadastro Mestre'!$A$5:$A$504,0)),""))</f>
        <v/>
      </c>
      <c r="F292" s="21"/>
      <c r="G292" s="21"/>
      <c r="H292" s="21"/>
      <c r="I292" s="21"/>
    </row>
    <row r="293" customFormat="false" ht="15" hidden="false" customHeight="false" outlineLevel="0" collapsed="false">
      <c r="A293" s="25"/>
      <c r="B293" s="21"/>
      <c r="C293" s="21"/>
      <c r="D293" s="26" t="str">
        <f aca="false">IF(C293="","",IFERROR(INDEX('Cadastro Mestre'!$C$5:$C$504,MATCH(C293,'Cadastro Mestre'!$A$5:$A$504,0)),"código não encontrado"))</f>
        <v/>
      </c>
      <c r="E293" s="24" t="str">
        <f aca="false">IF(C293="","",IFERROR(INDEX('Cadastro Mestre'!$Q$5:$Q$504,MATCH(C293,'Cadastro Mestre'!$A$5:$A$504,0)),""))</f>
        <v/>
      </c>
      <c r="F293" s="21"/>
      <c r="G293" s="21"/>
      <c r="H293" s="21"/>
      <c r="I293" s="21"/>
    </row>
    <row r="294" customFormat="false" ht="15" hidden="false" customHeight="false" outlineLevel="0" collapsed="false">
      <c r="A294" s="25"/>
      <c r="B294" s="21"/>
      <c r="C294" s="21"/>
      <c r="D294" s="26" t="str">
        <f aca="false">IF(C294="","",IFERROR(INDEX('Cadastro Mestre'!$C$5:$C$504,MATCH(C294,'Cadastro Mestre'!$A$5:$A$504,0)),"código não encontrado"))</f>
        <v/>
      </c>
      <c r="E294" s="24" t="str">
        <f aca="false">IF(C294="","",IFERROR(INDEX('Cadastro Mestre'!$Q$5:$Q$504,MATCH(C294,'Cadastro Mestre'!$A$5:$A$504,0)),""))</f>
        <v/>
      </c>
      <c r="F294" s="21"/>
      <c r="G294" s="21"/>
      <c r="H294" s="21"/>
      <c r="I294" s="21"/>
    </row>
    <row r="295" customFormat="false" ht="15" hidden="false" customHeight="false" outlineLevel="0" collapsed="false">
      <c r="A295" s="25"/>
      <c r="B295" s="21"/>
      <c r="C295" s="21"/>
      <c r="D295" s="26" t="str">
        <f aca="false">IF(C295="","",IFERROR(INDEX('Cadastro Mestre'!$C$5:$C$504,MATCH(C295,'Cadastro Mestre'!$A$5:$A$504,0)),"código não encontrado"))</f>
        <v/>
      </c>
      <c r="E295" s="24" t="str">
        <f aca="false">IF(C295="","",IFERROR(INDEX('Cadastro Mestre'!$Q$5:$Q$504,MATCH(C295,'Cadastro Mestre'!$A$5:$A$504,0)),""))</f>
        <v/>
      </c>
      <c r="F295" s="21"/>
      <c r="G295" s="21"/>
      <c r="H295" s="21"/>
      <c r="I295" s="21"/>
    </row>
    <row r="296" customFormat="false" ht="15" hidden="false" customHeight="false" outlineLevel="0" collapsed="false">
      <c r="A296" s="25"/>
      <c r="B296" s="21"/>
      <c r="C296" s="21"/>
      <c r="D296" s="26" t="str">
        <f aca="false">IF(C296="","",IFERROR(INDEX('Cadastro Mestre'!$C$5:$C$504,MATCH(C296,'Cadastro Mestre'!$A$5:$A$504,0)),"código não encontrado"))</f>
        <v/>
      </c>
      <c r="E296" s="24" t="str">
        <f aca="false">IF(C296="","",IFERROR(INDEX('Cadastro Mestre'!$Q$5:$Q$504,MATCH(C296,'Cadastro Mestre'!$A$5:$A$504,0)),""))</f>
        <v/>
      </c>
      <c r="F296" s="21"/>
      <c r="G296" s="21"/>
      <c r="H296" s="21"/>
      <c r="I296" s="21"/>
    </row>
    <row r="297" customFormat="false" ht="15" hidden="false" customHeight="false" outlineLevel="0" collapsed="false">
      <c r="A297" s="25"/>
      <c r="B297" s="21"/>
      <c r="C297" s="21"/>
      <c r="D297" s="26" t="str">
        <f aca="false">IF(C297="","",IFERROR(INDEX('Cadastro Mestre'!$C$5:$C$504,MATCH(C297,'Cadastro Mestre'!$A$5:$A$504,0)),"código não encontrado"))</f>
        <v/>
      </c>
      <c r="E297" s="24" t="str">
        <f aca="false">IF(C297="","",IFERROR(INDEX('Cadastro Mestre'!$Q$5:$Q$504,MATCH(C297,'Cadastro Mestre'!$A$5:$A$504,0)),""))</f>
        <v/>
      </c>
      <c r="F297" s="21"/>
      <c r="G297" s="21"/>
      <c r="H297" s="21"/>
      <c r="I297" s="21"/>
    </row>
    <row r="298" customFormat="false" ht="15" hidden="false" customHeight="false" outlineLevel="0" collapsed="false">
      <c r="A298" s="25"/>
      <c r="B298" s="21"/>
      <c r="C298" s="21"/>
      <c r="D298" s="26" t="str">
        <f aca="false">IF(C298="","",IFERROR(INDEX('Cadastro Mestre'!$C$5:$C$504,MATCH(C298,'Cadastro Mestre'!$A$5:$A$504,0)),"código não encontrado"))</f>
        <v/>
      </c>
      <c r="E298" s="24" t="str">
        <f aca="false">IF(C298="","",IFERROR(INDEX('Cadastro Mestre'!$Q$5:$Q$504,MATCH(C298,'Cadastro Mestre'!$A$5:$A$504,0)),""))</f>
        <v/>
      </c>
      <c r="F298" s="21"/>
      <c r="G298" s="21"/>
      <c r="H298" s="21"/>
      <c r="I298" s="21"/>
    </row>
    <row r="299" customFormat="false" ht="15" hidden="false" customHeight="false" outlineLevel="0" collapsed="false">
      <c r="A299" s="25"/>
      <c r="B299" s="21"/>
      <c r="C299" s="21"/>
      <c r="D299" s="26" t="str">
        <f aca="false">IF(C299="","",IFERROR(INDEX('Cadastro Mestre'!$C$5:$C$504,MATCH(C299,'Cadastro Mestre'!$A$5:$A$504,0)),"código não encontrado"))</f>
        <v/>
      </c>
      <c r="E299" s="24" t="str">
        <f aca="false">IF(C299="","",IFERROR(INDEX('Cadastro Mestre'!$Q$5:$Q$504,MATCH(C299,'Cadastro Mestre'!$A$5:$A$504,0)),""))</f>
        <v/>
      </c>
      <c r="F299" s="21"/>
      <c r="G299" s="21"/>
      <c r="H299" s="21"/>
      <c r="I299" s="21"/>
    </row>
    <row r="300" customFormat="false" ht="15" hidden="false" customHeight="false" outlineLevel="0" collapsed="false">
      <c r="A300" s="25"/>
      <c r="B300" s="21"/>
      <c r="C300" s="21"/>
      <c r="D300" s="26" t="str">
        <f aca="false">IF(C300="","",IFERROR(INDEX('Cadastro Mestre'!$C$5:$C$504,MATCH(C300,'Cadastro Mestre'!$A$5:$A$504,0)),"código não encontrado"))</f>
        <v/>
      </c>
      <c r="E300" s="24" t="str">
        <f aca="false">IF(C300="","",IFERROR(INDEX('Cadastro Mestre'!$Q$5:$Q$504,MATCH(C300,'Cadastro Mestre'!$A$5:$A$504,0)),""))</f>
        <v/>
      </c>
      <c r="F300" s="21"/>
      <c r="G300" s="21"/>
      <c r="H300" s="21"/>
      <c r="I300" s="21"/>
    </row>
    <row r="301" customFormat="false" ht="15" hidden="false" customHeight="false" outlineLevel="0" collapsed="false">
      <c r="A301" s="25"/>
      <c r="B301" s="21"/>
      <c r="C301" s="21"/>
      <c r="D301" s="26" t="str">
        <f aca="false">IF(C301="","",IFERROR(INDEX('Cadastro Mestre'!$C$5:$C$504,MATCH(C301,'Cadastro Mestre'!$A$5:$A$504,0)),"código não encontrado"))</f>
        <v/>
      </c>
      <c r="E301" s="24" t="str">
        <f aca="false">IF(C301="","",IFERROR(INDEX('Cadastro Mestre'!$Q$5:$Q$504,MATCH(C301,'Cadastro Mestre'!$A$5:$A$504,0)),""))</f>
        <v/>
      </c>
      <c r="F301" s="21"/>
      <c r="G301" s="21"/>
      <c r="H301" s="21"/>
      <c r="I301" s="21"/>
    </row>
    <row r="302" customFormat="false" ht="15" hidden="false" customHeight="false" outlineLevel="0" collapsed="false">
      <c r="A302" s="25"/>
      <c r="B302" s="21"/>
      <c r="C302" s="21"/>
      <c r="D302" s="26" t="str">
        <f aca="false">IF(C302="","",IFERROR(INDEX('Cadastro Mestre'!$C$5:$C$504,MATCH(C302,'Cadastro Mestre'!$A$5:$A$504,0)),"código não encontrado"))</f>
        <v/>
      </c>
      <c r="E302" s="24" t="str">
        <f aca="false">IF(C302="","",IFERROR(INDEX('Cadastro Mestre'!$Q$5:$Q$504,MATCH(C302,'Cadastro Mestre'!$A$5:$A$504,0)),""))</f>
        <v/>
      </c>
      <c r="F302" s="21"/>
      <c r="G302" s="21"/>
      <c r="H302" s="21"/>
      <c r="I302" s="21"/>
    </row>
    <row r="303" customFormat="false" ht="15" hidden="false" customHeight="false" outlineLevel="0" collapsed="false">
      <c r="A303" s="25"/>
      <c r="B303" s="21"/>
      <c r="C303" s="21"/>
      <c r="D303" s="26" t="str">
        <f aca="false">IF(C303="","",IFERROR(INDEX('Cadastro Mestre'!$C$5:$C$504,MATCH(C303,'Cadastro Mestre'!$A$5:$A$504,0)),"código não encontrado"))</f>
        <v/>
      </c>
      <c r="E303" s="24" t="str">
        <f aca="false">IF(C303="","",IFERROR(INDEX('Cadastro Mestre'!$Q$5:$Q$504,MATCH(C303,'Cadastro Mestre'!$A$5:$A$504,0)),""))</f>
        <v/>
      </c>
      <c r="F303" s="21"/>
      <c r="G303" s="21"/>
      <c r="H303" s="21"/>
      <c r="I303" s="21"/>
    </row>
    <row r="304" customFormat="false" ht="15" hidden="false" customHeight="false" outlineLevel="0" collapsed="false">
      <c r="A304" s="25"/>
      <c r="B304" s="21"/>
      <c r="C304" s="21"/>
      <c r="D304" s="26" t="str">
        <f aca="false">IF(C304="","",IFERROR(INDEX('Cadastro Mestre'!$C$5:$C$504,MATCH(C304,'Cadastro Mestre'!$A$5:$A$504,0)),"código não encontrado"))</f>
        <v/>
      </c>
      <c r="E304" s="24" t="str">
        <f aca="false">IF(C304="","",IFERROR(INDEX('Cadastro Mestre'!$Q$5:$Q$504,MATCH(C304,'Cadastro Mestre'!$A$5:$A$504,0)),""))</f>
        <v/>
      </c>
      <c r="F304" s="21"/>
      <c r="G304" s="21"/>
      <c r="H304" s="21"/>
      <c r="I304" s="21"/>
    </row>
    <row r="305" customFormat="false" ht="15" hidden="false" customHeight="false" outlineLevel="0" collapsed="false">
      <c r="A305" s="25"/>
      <c r="B305" s="21"/>
      <c r="C305" s="21"/>
      <c r="D305" s="26" t="str">
        <f aca="false">IF(C305="","",IFERROR(INDEX('Cadastro Mestre'!$C$5:$C$504,MATCH(C305,'Cadastro Mestre'!$A$5:$A$504,0)),"código não encontrado"))</f>
        <v/>
      </c>
      <c r="E305" s="24" t="str">
        <f aca="false">IF(C305="","",IFERROR(INDEX('Cadastro Mestre'!$Q$5:$Q$504,MATCH(C305,'Cadastro Mestre'!$A$5:$A$504,0)),""))</f>
        <v/>
      </c>
      <c r="F305" s="21"/>
      <c r="G305" s="21"/>
      <c r="H305" s="21"/>
      <c r="I305" s="21"/>
    </row>
    <row r="306" customFormat="false" ht="15" hidden="false" customHeight="false" outlineLevel="0" collapsed="false">
      <c r="A306" s="25"/>
      <c r="B306" s="21"/>
      <c r="C306" s="21"/>
      <c r="D306" s="26" t="str">
        <f aca="false">IF(C306="","",IFERROR(INDEX('Cadastro Mestre'!$C$5:$C$504,MATCH(C306,'Cadastro Mestre'!$A$5:$A$504,0)),"código não encontrado"))</f>
        <v/>
      </c>
      <c r="E306" s="24" t="str">
        <f aca="false">IF(C306="","",IFERROR(INDEX('Cadastro Mestre'!$Q$5:$Q$504,MATCH(C306,'Cadastro Mestre'!$A$5:$A$504,0)),""))</f>
        <v/>
      </c>
      <c r="F306" s="21"/>
      <c r="G306" s="21"/>
      <c r="H306" s="21"/>
      <c r="I306" s="21"/>
    </row>
    <row r="307" customFormat="false" ht="15" hidden="false" customHeight="false" outlineLevel="0" collapsed="false">
      <c r="A307" s="25"/>
      <c r="B307" s="21"/>
      <c r="C307" s="21"/>
      <c r="D307" s="26" t="str">
        <f aca="false">IF(C307="","",IFERROR(INDEX('Cadastro Mestre'!$C$5:$C$504,MATCH(C307,'Cadastro Mestre'!$A$5:$A$504,0)),"código não encontrado"))</f>
        <v/>
      </c>
      <c r="E307" s="24" t="str">
        <f aca="false">IF(C307="","",IFERROR(INDEX('Cadastro Mestre'!$Q$5:$Q$504,MATCH(C307,'Cadastro Mestre'!$A$5:$A$504,0)),""))</f>
        <v/>
      </c>
      <c r="F307" s="21"/>
      <c r="G307" s="21"/>
      <c r="H307" s="21"/>
      <c r="I307" s="21"/>
    </row>
    <row r="308" customFormat="false" ht="15" hidden="false" customHeight="false" outlineLevel="0" collapsed="false">
      <c r="A308" s="25"/>
      <c r="B308" s="21"/>
      <c r="C308" s="21"/>
      <c r="D308" s="26" t="str">
        <f aca="false">IF(C308="","",IFERROR(INDEX('Cadastro Mestre'!$C$5:$C$504,MATCH(C308,'Cadastro Mestre'!$A$5:$A$504,0)),"código não encontrado"))</f>
        <v/>
      </c>
      <c r="E308" s="24" t="str">
        <f aca="false">IF(C308="","",IFERROR(INDEX('Cadastro Mestre'!$Q$5:$Q$504,MATCH(C308,'Cadastro Mestre'!$A$5:$A$504,0)),""))</f>
        <v/>
      </c>
      <c r="F308" s="21"/>
      <c r="G308" s="21"/>
      <c r="H308" s="21"/>
      <c r="I308" s="21"/>
    </row>
    <row r="309" customFormat="false" ht="15" hidden="false" customHeight="false" outlineLevel="0" collapsed="false">
      <c r="A309" s="25"/>
      <c r="B309" s="21"/>
      <c r="C309" s="21"/>
      <c r="D309" s="26" t="str">
        <f aca="false">IF(C309="","",IFERROR(INDEX('Cadastro Mestre'!$C$5:$C$504,MATCH(C309,'Cadastro Mestre'!$A$5:$A$504,0)),"código não encontrado"))</f>
        <v/>
      </c>
      <c r="E309" s="24" t="str">
        <f aca="false">IF(C309="","",IFERROR(INDEX('Cadastro Mestre'!$Q$5:$Q$504,MATCH(C309,'Cadastro Mestre'!$A$5:$A$504,0)),""))</f>
        <v/>
      </c>
      <c r="F309" s="21"/>
      <c r="G309" s="21"/>
      <c r="H309" s="21"/>
      <c r="I309" s="21"/>
    </row>
    <row r="310" customFormat="false" ht="15" hidden="false" customHeight="false" outlineLevel="0" collapsed="false">
      <c r="A310" s="25"/>
      <c r="B310" s="21"/>
      <c r="C310" s="21"/>
      <c r="D310" s="26" t="str">
        <f aca="false">IF(C310="","",IFERROR(INDEX('Cadastro Mestre'!$C$5:$C$504,MATCH(C310,'Cadastro Mestre'!$A$5:$A$504,0)),"código não encontrado"))</f>
        <v/>
      </c>
      <c r="E310" s="24" t="str">
        <f aca="false">IF(C310="","",IFERROR(INDEX('Cadastro Mestre'!$Q$5:$Q$504,MATCH(C310,'Cadastro Mestre'!$A$5:$A$504,0)),""))</f>
        <v/>
      </c>
      <c r="F310" s="21"/>
      <c r="G310" s="21"/>
      <c r="H310" s="21"/>
      <c r="I310" s="21"/>
    </row>
    <row r="311" customFormat="false" ht="15" hidden="false" customHeight="false" outlineLevel="0" collapsed="false">
      <c r="A311" s="25"/>
      <c r="B311" s="21"/>
      <c r="C311" s="21"/>
      <c r="D311" s="26" t="str">
        <f aca="false">IF(C311="","",IFERROR(INDEX('Cadastro Mestre'!$C$5:$C$504,MATCH(C311,'Cadastro Mestre'!$A$5:$A$504,0)),"código não encontrado"))</f>
        <v/>
      </c>
      <c r="E311" s="24" t="str">
        <f aca="false">IF(C311="","",IFERROR(INDEX('Cadastro Mestre'!$Q$5:$Q$504,MATCH(C311,'Cadastro Mestre'!$A$5:$A$504,0)),""))</f>
        <v/>
      </c>
      <c r="F311" s="21"/>
      <c r="G311" s="21"/>
      <c r="H311" s="21"/>
      <c r="I311" s="21"/>
    </row>
    <row r="312" customFormat="false" ht="15" hidden="false" customHeight="false" outlineLevel="0" collapsed="false">
      <c r="A312" s="25"/>
      <c r="B312" s="21"/>
      <c r="C312" s="21"/>
      <c r="D312" s="26" t="str">
        <f aca="false">IF(C312="","",IFERROR(INDEX('Cadastro Mestre'!$C$5:$C$504,MATCH(C312,'Cadastro Mestre'!$A$5:$A$504,0)),"código não encontrado"))</f>
        <v/>
      </c>
      <c r="E312" s="24" t="str">
        <f aca="false">IF(C312="","",IFERROR(INDEX('Cadastro Mestre'!$Q$5:$Q$504,MATCH(C312,'Cadastro Mestre'!$A$5:$A$504,0)),""))</f>
        <v/>
      </c>
      <c r="F312" s="21"/>
      <c r="G312" s="21"/>
      <c r="H312" s="21"/>
      <c r="I312" s="21"/>
    </row>
    <row r="313" customFormat="false" ht="15" hidden="false" customHeight="false" outlineLevel="0" collapsed="false">
      <c r="A313" s="25"/>
      <c r="B313" s="21"/>
      <c r="C313" s="21"/>
      <c r="D313" s="26" t="str">
        <f aca="false">IF(C313="","",IFERROR(INDEX('Cadastro Mestre'!$C$5:$C$504,MATCH(C313,'Cadastro Mestre'!$A$5:$A$504,0)),"código não encontrado"))</f>
        <v/>
      </c>
      <c r="E313" s="24" t="str">
        <f aca="false">IF(C313="","",IFERROR(INDEX('Cadastro Mestre'!$Q$5:$Q$504,MATCH(C313,'Cadastro Mestre'!$A$5:$A$504,0)),""))</f>
        <v/>
      </c>
      <c r="F313" s="21"/>
      <c r="G313" s="21"/>
      <c r="H313" s="21"/>
      <c r="I313" s="21"/>
    </row>
    <row r="314" customFormat="false" ht="15" hidden="false" customHeight="false" outlineLevel="0" collapsed="false">
      <c r="A314" s="25"/>
      <c r="B314" s="21"/>
      <c r="C314" s="21"/>
      <c r="D314" s="26" t="str">
        <f aca="false">IF(C314="","",IFERROR(INDEX('Cadastro Mestre'!$C$5:$C$504,MATCH(C314,'Cadastro Mestre'!$A$5:$A$504,0)),"código não encontrado"))</f>
        <v/>
      </c>
      <c r="E314" s="24" t="str">
        <f aca="false">IF(C314="","",IFERROR(INDEX('Cadastro Mestre'!$Q$5:$Q$504,MATCH(C314,'Cadastro Mestre'!$A$5:$A$504,0)),""))</f>
        <v/>
      </c>
      <c r="F314" s="21"/>
      <c r="G314" s="21"/>
      <c r="H314" s="21"/>
      <c r="I314" s="21"/>
    </row>
    <row r="315" customFormat="false" ht="15" hidden="false" customHeight="false" outlineLevel="0" collapsed="false">
      <c r="A315" s="25"/>
      <c r="B315" s="21"/>
      <c r="C315" s="21"/>
      <c r="D315" s="26" t="str">
        <f aca="false">IF(C315="","",IFERROR(INDEX('Cadastro Mestre'!$C$5:$C$504,MATCH(C315,'Cadastro Mestre'!$A$5:$A$504,0)),"código não encontrado"))</f>
        <v/>
      </c>
      <c r="E315" s="24" t="str">
        <f aca="false">IF(C315="","",IFERROR(INDEX('Cadastro Mestre'!$Q$5:$Q$504,MATCH(C315,'Cadastro Mestre'!$A$5:$A$504,0)),""))</f>
        <v/>
      </c>
      <c r="F315" s="21"/>
      <c r="G315" s="21"/>
      <c r="H315" s="21"/>
      <c r="I315" s="21"/>
    </row>
    <row r="316" customFormat="false" ht="15" hidden="false" customHeight="false" outlineLevel="0" collapsed="false">
      <c r="A316" s="25"/>
      <c r="B316" s="21"/>
      <c r="C316" s="21"/>
      <c r="D316" s="26" t="str">
        <f aca="false">IF(C316="","",IFERROR(INDEX('Cadastro Mestre'!$C$5:$C$504,MATCH(C316,'Cadastro Mestre'!$A$5:$A$504,0)),"código não encontrado"))</f>
        <v/>
      </c>
      <c r="E316" s="24" t="str">
        <f aca="false">IF(C316="","",IFERROR(INDEX('Cadastro Mestre'!$Q$5:$Q$504,MATCH(C316,'Cadastro Mestre'!$A$5:$A$504,0)),""))</f>
        <v/>
      </c>
      <c r="F316" s="21"/>
      <c r="G316" s="21"/>
      <c r="H316" s="21"/>
      <c r="I316" s="21"/>
    </row>
    <row r="317" customFormat="false" ht="15" hidden="false" customHeight="false" outlineLevel="0" collapsed="false">
      <c r="A317" s="25"/>
      <c r="B317" s="21"/>
      <c r="C317" s="21"/>
      <c r="D317" s="26" t="str">
        <f aca="false">IF(C317="","",IFERROR(INDEX('Cadastro Mestre'!$C$5:$C$504,MATCH(C317,'Cadastro Mestre'!$A$5:$A$504,0)),"código não encontrado"))</f>
        <v/>
      </c>
      <c r="E317" s="24" t="str">
        <f aca="false">IF(C317="","",IFERROR(INDEX('Cadastro Mestre'!$Q$5:$Q$504,MATCH(C317,'Cadastro Mestre'!$A$5:$A$504,0)),""))</f>
        <v/>
      </c>
      <c r="F317" s="21"/>
      <c r="G317" s="21"/>
      <c r="H317" s="21"/>
      <c r="I317" s="21"/>
    </row>
    <row r="318" customFormat="false" ht="15" hidden="false" customHeight="false" outlineLevel="0" collapsed="false">
      <c r="A318" s="25"/>
      <c r="B318" s="21"/>
      <c r="C318" s="21"/>
      <c r="D318" s="26" t="str">
        <f aca="false">IF(C318="","",IFERROR(INDEX('Cadastro Mestre'!$C$5:$C$504,MATCH(C318,'Cadastro Mestre'!$A$5:$A$504,0)),"código não encontrado"))</f>
        <v/>
      </c>
      <c r="E318" s="24" t="str">
        <f aca="false">IF(C318="","",IFERROR(INDEX('Cadastro Mestre'!$Q$5:$Q$504,MATCH(C318,'Cadastro Mestre'!$A$5:$A$504,0)),""))</f>
        <v/>
      </c>
      <c r="F318" s="21"/>
      <c r="G318" s="21"/>
      <c r="H318" s="21"/>
      <c r="I318" s="21"/>
    </row>
    <row r="319" customFormat="false" ht="15" hidden="false" customHeight="false" outlineLevel="0" collapsed="false">
      <c r="A319" s="25"/>
      <c r="B319" s="21"/>
      <c r="C319" s="21"/>
      <c r="D319" s="26" t="str">
        <f aca="false">IF(C319="","",IFERROR(INDEX('Cadastro Mestre'!$C$5:$C$504,MATCH(C319,'Cadastro Mestre'!$A$5:$A$504,0)),"código não encontrado"))</f>
        <v/>
      </c>
      <c r="E319" s="24" t="str">
        <f aca="false">IF(C319="","",IFERROR(INDEX('Cadastro Mestre'!$Q$5:$Q$504,MATCH(C319,'Cadastro Mestre'!$A$5:$A$504,0)),""))</f>
        <v/>
      </c>
      <c r="F319" s="21"/>
      <c r="G319" s="21"/>
      <c r="H319" s="21"/>
      <c r="I319" s="21"/>
    </row>
    <row r="320" customFormat="false" ht="15" hidden="false" customHeight="false" outlineLevel="0" collapsed="false">
      <c r="A320" s="25"/>
      <c r="B320" s="21"/>
      <c r="C320" s="21"/>
      <c r="D320" s="26" t="str">
        <f aca="false">IF(C320="","",IFERROR(INDEX('Cadastro Mestre'!$C$5:$C$504,MATCH(C320,'Cadastro Mestre'!$A$5:$A$504,0)),"código não encontrado"))</f>
        <v/>
      </c>
      <c r="E320" s="24" t="str">
        <f aca="false">IF(C320="","",IFERROR(INDEX('Cadastro Mestre'!$Q$5:$Q$504,MATCH(C320,'Cadastro Mestre'!$A$5:$A$504,0)),""))</f>
        <v/>
      </c>
      <c r="F320" s="21"/>
      <c r="G320" s="21"/>
      <c r="H320" s="21"/>
      <c r="I320" s="21"/>
    </row>
    <row r="321" customFormat="false" ht="15" hidden="false" customHeight="false" outlineLevel="0" collapsed="false">
      <c r="A321" s="25"/>
      <c r="B321" s="21"/>
      <c r="C321" s="21"/>
      <c r="D321" s="26" t="str">
        <f aca="false">IF(C321="","",IFERROR(INDEX('Cadastro Mestre'!$C$5:$C$504,MATCH(C321,'Cadastro Mestre'!$A$5:$A$504,0)),"código não encontrado"))</f>
        <v/>
      </c>
      <c r="E321" s="24" t="str">
        <f aca="false">IF(C321="","",IFERROR(INDEX('Cadastro Mestre'!$Q$5:$Q$504,MATCH(C321,'Cadastro Mestre'!$A$5:$A$504,0)),""))</f>
        <v/>
      </c>
      <c r="F321" s="21"/>
      <c r="G321" s="21"/>
      <c r="H321" s="21"/>
      <c r="I321" s="21"/>
    </row>
    <row r="322" customFormat="false" ht="15" hidden="false" customHeight="false" outlineLevel="0" collapsed="false">
      <c r="A322" s="25"/>
      <c r="B322" s="21"/>
      <c r="C322" s="21"/>
      <c r="D322" s="26" t="str">
        <f aca="false">IF(C322="","",IFERROR(INDEX('Cadastro Mestre'!$C$5:$C$504,MATCH(C322,'Cadastro Mestre'!$A$5:$A$504,0)),"código não encontrado"))</f>
        <v/>
      </c>
      <c r="E322" s="24" t="str">
        <f aca="false">IF(C322="","",IFERROR(INDEX('Cadastro Mestre'!$Q$5:$Q$504,MATCH(C322,'Cadastro Mestre'!$A$5:$A$504,0)),""))</f>
        <v/>
      </c>
      <c r="F322" s="21"/>
      <c r="G322" s="21"/>
      <c r="H322" s="21"/>
      <c r="I322" s="21"/>
    </row>
    <row r="323" customFormat="false" ht="15" hidden="false" customHeight="false" outlineLevel="0" collapsed="false">
      <c r="A323" s="25"/>
      <c r="B323" s="21"/>
      <c r="C323" s="21"/>
      <c r="D323" s="26" t="str">
        <f aca="false">IF(C323="","",IFERROR(INDEX('Cadastro Mestre'!$C$5:$C$504,MATCH(C323,'Cadastro Mestre'!$A$5:$A$504,0)),"código não encontrado"))</f>
        <v/>
      </c>
      <c r="E323" s="24" t="str">
        <f aca="false">IF(C323="","",IFERROR(INDEX('Cadastro Mestre'!$Q$5:$Q$504,MATCH(C323,'Cadastro Mestre'!$A$5:$A$504,0)),""))</f>
        <v/>
      </c>
      <c r="F323" s="21"/>
      <c r="G323" s="21"/>
      <c r="H323" s="21"/>
      <c r="I323" s="21"/>
    </row>
    <row r="324" customFormat="false" ht="15" hidden="false" customHeight="false" outlineLevel="0" collapsed="false">
      <c r="A324" s="25"/>
      <c r="B324" s="21"/>
      <c r="C324" s="21"/>
      <c r="D324" s="26" t="str">
        <f aca="false">IF(C324="","",IFERROR(INDEX('Cadastro Mestre'!$C$5:$C$504,MATCH(C324,'Cadastro Mestre'!$A$5:$A$504,0)),"código não encontrado"))</f>
        <v/>
      </c>
      <c r="E324" s="24" t="str">
        <f aca="false">IF(C324="","",IFERROR(INDEX('Cadastro Mestre'!$Q$5:$Q$504,MATCH(C324,'Cadastro Mestre'!$A$5:$A$504,0)),""))</f>
        <v/>
      </c>
      <c r="F324" s="21"/>
      <c r="G324" s="21"/>
      <c r="H324" s="21"/>
      <c r="I324" s="21"/>
    </row>
    <row r="325" customFormat="false" ht="15" hidden="false" customHeight="false" outlineLevel="0" collapsed="false">
      <c r="A325" s="25"/>
      <c r="B325" s="21"/>
      <c r="C325" s="21"/>
      <c r="D325" s="26" t="str">
        <f aca="false">IF(C325="","",IFERROR(INDEX('Cadastro Mestre'!$C$5:$C$504,MATCH(C325,'Cadastro Mestre'!$A$5:$A$504,0)),"código não encontrado"))</f>
        <v/>
      </c>
      <c r="E325" s="24" t="str">
        <f aca="false">IF(C325="","",IFERROR(INDEX('Cadastro Mestre'!$Q$5:$Q$504,MATCH(C325,'Cadastro Mestre'!$A$5:$A$504,0)),""))</f>
        <v/>
      </c>
      <c r="F325" s="21"/>
      <c r="G325" s="21"/>
      <c r="H325" s="21"/>
      <c r="I325" s="21"/>
    </row>
    <row r="326" customFormat="false" ht="15" hidden="false" customHeight="false" outlineLevel="0" collapsed="false">
      <c r="A326" s="25"/>
      <c r="B326" s="21"/>
      <c r="C326" s="21"/>
      <c r="D326" s="26" t="str">
        <f aca="false">IF(C326="","",IFERROR(INDEX('Cadastro Mestre'!$C$5:$C$504,MATCH(C326,'Cadastro Mestre'!$A$5:$A$504,0)),"código não encontrado"))</f>
        <v/>
      </c>
      <c r="E326" s="24" t="str">
        <f aca="false">IF(C326="","",IFERROR(INDEX('Cadastro Mestre'!$Q$5:$Q$504,MATCH(C326,'Cadastro Mestre'!$A$5:$A$504,0)),""))</f>
        <v/>
      </c>
      <c r="F326" s="21"/>
      <c r="G326" s="21"/>
      <c r="H326" s="21"/>
      <c r="I326" s="21"/>
    </row>
    <row r="327" customFormat="false" ht="15" hidden="false" customHeight="false" outlineLevel="0" collapsed="false">
      <c r="A327" s="25"/>
      <c r="B327" s="21"/>
      <c r="C327" s="21"/>
      <c r="D327" s="26" t="str">
        <f aca="false">IF(C327="","",IFERROR(INDEX('Cadastro Mestre'!$C$5:$C$504,MATCH(C327,'Cadastro Mestre'!$A$5:$A$504,0)),"código não encontrado"))</f>
        <v/>
      </c>
      <c r="E327" s="24" t="str">
        <f aca="false">IF(C327="","",IFERROR(INDEX('Cadastro Mestre'!$Q$5:$Q$504,MATCH(C327,'Cadastro Mestre'!$A$5:$A$504,0)),""))</f>
        <v/>
      </c>
      <c r="F327" s="21"/>
      <c r="G327" s="21"/>
      <c r="H327" s="21"/>
      <c r="I327" s="21"/>
    </row>
    <row r="328" customFormat="false" ht="15" hidden="false" customHeight="false" outlineLevel="0" collapsed="false">
      <c r="A328" s="25"/>
      <c r="B328" s="21"/>
      <c r="C328" s="21"/>
      <c r="D328" s="26" t="str">
        <f aca="false">IF(C328="","",IFERROR(INDEX('Cadastro Mestre'!$C$5:$C$504,MATCH(C328,'Cadastro Mestre'!$A$5:$A$504,0)),"código não encontrado"))</f>
        <v/>
      </c>
      <c r="E328" s="24" t="str">
        <f aca="false">IF(C328="","",IFERROR(INDEX('Cadastro Mestre'!$Q$5:$Q$504,MATCH(C328,'Cadastro Mestre'!$A$5:$A$504,0)),""))</f>
        <v/>
      </c>
      <c r="F328" s="21"/>
      <c r="G328" s="21"/>
      <c r="H328" s="21"/>
      <c r="I328" s="21"/>
    </row>
    <row r="329" customFormat="false" ht="15" hidden="false" customHeight="false" outlineLevel="0" collapsed="false">
      <c r="A329" s="25"/>
      <c r="B329" s="21"/>
      <c r="C329" s="21"/>
      <c r="D329" s="26" t="str">
        <f aca="false">IF(C329="","",IFERROR(INDEX('Cadastro Mestre'!$C$5:$C$504,MATCH(C329,'Cadastro Mestre'!$A$5:$A$504,0)),"código não encontrado"))</f>
        <v/>
      </c>
      <c r="E329" s="24" t="str">
        <f aca="false">IF(C329="","",IFERROR(INDEX('Cadastro Mestre'!$Q$5:$Q$504,MATCH(C329,'Cadastro Mestre'!$A$5:$A$504,0)),""))</f>
        <v/>
      </c>
      <c r="F329" s="21"/>
      <c r="G329" s="21"/>
      <c r="H329" s="21"/>
      <c r="I329" s="21"/>
    </row>
    <row r="330" customFormat="false" ht="15" hidden="false" customHeight="false" outlineLevel="0" collapsed="false">
      <c r="A330" s="25"/>
      <c r="B330" s="21"/>
      <c r="C330" s="21"/>
      <c r="D330" s="26" t="str">
        <f aca="false">IF(C330="","",IFERROR(INDEX('Cadastro Mestre'!$C$5:$C$504,MATCH(C330,'Cadastro Mestre'!$A$5:$A$504,0)),"código não encontrado"))</f>
        <v/>
      </c>
      <c r="E330" s="24" t="str">
        <f aca="false">IF(C330="","",IFERROR(INDEX('Cadastro Mestre'!$Q$5:$Q$504,MATCH(C330,'Cadastro Mestre'!$A$5:$A$504,0)),""))</f>
        <v/>
      </c>
      <c r="F330" s="21"/>
      <c r="G330" s="21"/>
      <c r="H330" s="21"/>
      <c r="I330" s="21"/>
    </row>
    <row r="331" customFormat="false" ht="15" hidden="false" customHeight="false" outlineLevel="0" collapsed="false">
      <c r="A331" s="25"/>
      <c r="B331" s="21"/>
      <c r="C331" s="21"/>
      <c r="D331" s="26" t="str">
        <f aca="false">IF(C331="","",IFERROR(INDEX('Cadastro Mestre'!$C$5:$C$504,MATCH(C331,'Cadastro Mestre'!$A$5:$A$504,0)),"código não encontrado"))</f>
        <v/>
      </c>
      <c r="E331" s="24" t="str">
        <f aca="false">IF(C331="","",IFERROR(INDEX('Cadastro Mestre'!$Q$5:$Q$504,MATCH(C331,'Cadastro Mestre'!$A$5:$A$504,0)),""))</f>
        <v/>
      </c>
      <c r="F331" s="21"/>
      <c r="G331" s="21"/>
      <c r="H331" s="21"/>
      <c r="I331" s="21"/>
    </row>
    <row r="332" customFormat="false" ht="15" hidden="false" customHeight="false" outlineLevel="0" collapsed="false">
      <c r="A332" s="25"/>
      <c r="B332" s="21"/>
      <c r="C332" s="21"/>
      <c r="D332" s="26" t="str">
        <f aca="false">IF(C332="","",IFERROR(INDEX('Cadastro Mestre'!$C$5:$C$504,MATCH(C332,'Cadastro Mestre'!$A$5:$A$504,0)),"código não encontrado"))</f>
        <v/>
      </c>
      <c r="E332" s="24" t="str">
        <f aca="false">IF(C332="","",IFERROR(INDEX('Cadastro Mestre'!$Q$5:$Q$504,MATCH(C332,'Cadastro Mestre'!$A$5:$A$504,0)),""))</f>
        <v/>
      </c>
      <c r="F332" s="21"/>
      <c r="G332" s="21"/>
      <c r="H332" s="21"/>
      <c r="I332" s="21"/>
    </row>
    <row r="333" customFormat="false" ht="15" hidden="false" customHeight="false" outlineLevel="0" collapsed="false">
      <c r="A333" s="25"/>
      <c r="B333" s="21"/>
      <c r="C333" s="21"/>
      <c r="D333" s="26" t="str">
        <f aca="false">IF(C333="","",IFERROR(INDEX('Cadastro Mestre'!$C$5:$C$504,MATCH(C333,'Cadastro Mestre'!$A$5:$A$504,0)),"código não encontrado"))</f>
        <v/>
      </c>
      <c r="E333" s="24" t="str">
        <f aca="false">IF(C333="","",IFERROR(INDEX('Cadastro Mestre'!$Q$5:$Q$504,MATCH(C333,'Cadastro Mestre'!$A$5:$A$504,0)),""))</f>
        <v/>
      </c>
      <c r="F333" s="21"/>
      <c r="G333" s="21"/>
      <c r="H333" s="21"/>
      <c r="I333" s="21"/>
    </row>
    <row r="334" customFormat="false" ht="15" hidden="false" customHeight="false" outlineLevel="0" collapsed="false">
      <c r="A334" s="25"/>
      <c r="B334" s="21"/>
      <c r="C334" s="21"/>
      <c r="D334" s="26" t="str">
        <f aca="false">IF(C334="","",IFERROR(INDEX('Cadastro Mestre'!$C$5:$C$504,MATCH(C334,'Cadastro Mestre'!$A$5:$A$504,0)),"código não encontrado"))</f>
        <v/>
      </c>
      <c r="E334" s="24" t="str">
        <f aca="false">IF(C334="","",IFERROR(INDEX('Cadastro Mestre'!$Q$5:$Q$504,MATCH(C334,'Cadastro Mestre'!$A$5:$A$504,0)),""))</f>
        <v/>
      </c>
      <c r="F334" s="21"/>
      <c r="G334" s="21"/>
      <c r="H334" s="21"/>
      <c r="I334" s="21"/>
    </row>
    <row r="335" customFormat="false" ht="15" hidden="false" customHeight="false" outlineLevel="0" collapsed="false">
      <c r="A335" s="25"/>
      <c r="B335" s="21"/>
      <c r="C335" s="21"/>
      <c r="D335" s="26" t="str">
        <f aca="false">IF(C335="","",IFERROR(INDEX('Cadastro Mestre'!$C$5:$C$504,MATCH(C335,'Cadastro Mestre'!$A$5:$A$504,0)),"código não encontrado"))</f>
        <v/>
      </c>
      <c r="E335" s="24" t="str">
        <f aca="false">IF(C335="","",IFERROR(INDEX('Cadastro Mestre'!$Q$5:$Q$504,MATCH(C335,'Cadastro Mestre'!$A$5:$A$504,0)),""))</f>
        <v/>
      </c>
      <c r="F335" s="21"/>
      <c r="G335" s="21"/>
      <c r="H335" s="21"/>
      <c r="I335" s="21"/>
    </row>
    <row r="336" customFormat="false" ht="15" hidden="false" customHeight="false" outlineLevel="0" collapsed="false">
      <c r="A336" s="25"/>
      <c r="B336" s="21"/>
      <c r="C336" s="21"/>
      <c r="D336" s="26" t="str">
        <f aca="false">IF(C336="","",IFERROR(INDEX('Cadastro Mestre'!$C$5:$C$504,MATCH(C336,'Cadastro Mestre'!$A$5:$A$504,0)),"código não encontrado"))</f>
        <v/>
      </c>
      <c r="E336" s="24" t="str">
        <f aca="false">IF(C336="","",IFERROR(INDEX('Cadastro Mestre'!$Q$5:$Q$504,MATCH(C336,'Cadastro Mestre'!$A$5:$A$504,0)),""))</f>
        <v/>
      </c>
      <c r="F336" s="21"/>
      <c r="G336" s="21"/>
      <c r="H336" s="21"/>
      <c r="I336" s="21"/>
    </row>
    <row r="337" customFormat="false" ht="15" hidden="false" customHeight="false" outlineLevel="0" collapsed="false">
      <c r="A337" s="25"/>
      <c r="B337" s="21"/>
      <c r="C337" s="21"/>
      <c r="D337" s="26" t="str">
        <f aca="false">IF(C337="","",IFERROR(INDEX('Cadastro Mestre'!$C$5:$C$504,MATCH(C337,'Cadastro Mestre'!$A$5:$A$504,0)),"código não encontrado"))</f>
        <v/>
      </c>
      <c r="E337" s="24" t="str">
        <f aca="false">IF(C337="","",IFERROR(INDEX('Cadastro Mestre'!$Q$5:$Q$504,MATCH(C337,'Cadastro Mestre'!$A$5:$A$504,0)),""))</f>
        <v/>
      </c>
      <c r="F337" s="21"/>
      <c r="G337" s="21"/>
      <c r="H337" s="21"/>
      <c r="I337" s="21"/>
    </row>
    <row r="338" customFormat="false" ht="15" hidden="false" customHeight="false" outlineLevel="0" collapsed="false">
      <c r="A338" s="25"/>
      <c r="B338" s="21"/>
      <c r="C338" s="21"/>
      <c r="D338" s="26" t="str">
        <f aca="false">IF(C338="","",IFERROR(INDEX('Cadastro Mestre'!$C$5:$C$504,MATCH(C338,'Cadastro Mestre'!$A$5:$A$504,0)),"código não encontrado"))</f>
        <v/>
      </c>
      <c r="E338" s="24" t="str">
        <f aca="false">IF(C338="","",IFERROR(INDEX('Cadastro Mestre'!$Q$5:$Q$504,MATCH(C338,'Cadastro Mestre'!$A$5:$A$504,0)),""))</f>
        <v/>
      </c>
      <c r="F338" s="21"/>
      <c r="G338" s="21"/>
      <c r="H338" s="21"/>
      <c r="I338" s="21"/>
    </row>
    <row r="339" customFormat="false" ht="15" hidden="false" customHeight="false" outlineLevel="0" collapsed="false">
      <c r="A339" s="25"/>
      <c r="B339" s="21"/>
      <c r="C339" s="21"/>
      <c r="D339" s="26" t="str">
        <f aca="false">IF(C339="","",IFERROR(INDEX('Cadastro Mestre'!$C$5:$C$504,MATCH(C339,'Cadastro Mestre'!$A$5:$A$504,0)),"código não encontrado"))</f>
        <v/>
      </c>
      <c r="E339" s="24" t="str">
        <f aca="false">IF(C339="","",IFERROR(INDEX('Cadastro Mestre'!$Q$5:$Q$504,MATCH(C339,'Cadastro Mestre'!$A$5:$A$504,0)),""))</f>
        <v/>
      </c>
      <c r="F339" s="21"/>
      <c r="G339" s="21"/>
      <c r="H339" s="21"/>
      <c r="I339" s="21"/>
    </row>
    <row r="340" customFormat="false" ht="15" hidden="false" customHeight="false" outlineLevel="0" collapsed="false">
      <c r="A340" s="25"/>
      <c r="B340" s="21"/>
      <c r="C340" s="21"/>
      <c r="D340" s="26" t="str">
        <f aca="false">IF(C340="","",IFERROR(INDEX('Cadastro Mestre'!$C$5:$C$504,MATCH(C340,'Cadastro Mestre'!$A$5:$A$504,0)),"código não encontrado"))</f>
        <v/>
      </c>
      <c r="E340" s="24" t="str">
        <f aca="false">IF(C340="","",IFERROR(INDEX('Cadastro Mestre'!$Q$5:$Q$504,MATCH(C340,'Cadastro Mestre'!$A$5:$A$504,0)),""))</f>
        <v/>
      </c>
      <c r="F340" s="21"/>
      <c r="G340" s="21"/>
      <c r="H340" s="21"/>
      <c r="I340" s="21"/>
    </row>
    <row r="341" customFormat="false" ht="15" hidden="false" customHeight="false" outlineLevel="0" collapsed="false">
      <c r="A341" s="25"/>
      <c r="B341" s="21"/>
      <c r="C341" s="21"/>
      <c r="D341" s="26" t="str">
        <f aca="false">IF(C341="","",IFERROR(INDEX('Cadastro Mestre'!$C$5:$C$504,MATCH(C341,'Cadastro Mestre'!$A$5:$A$504,0)),"código não encontrado"))</f>
        <v/>
      </c>
      <c r="E341" s="24" t="str">
        <f aca="false">IF(C341="","",IFERROR(INDEX('Cadastro Mestre'!$Q$5:$Q$504,MATCH(C341,'Cadastro Mestre'!$A$5:$A$504,0)),""))</f>
        <v/>
      </c>
      <c r="F341" s="21"/>
      <c r="G341" s="21"/>
      <c r="H341" s="21"/>
      <c r="I341" s="21"/>
    </row>
    <row r="342" customFormat="false" ht="15" hidden="false" customHeight="false" outlineLevel="0" collapsed="false">
      <c r="A342" s="25"/>
      <c r="B342" s="21"/>
      <c r="C342" s="21"/>
      <c r="D342" s="26" t="str">
        <f aca="false">IF(C342="","",IFERROR(INDEX('Cadastro Mestre'!$C$5:$C$504,MATCH(C342,'Cadastro Mestre'!$A$5:$A$504,0)),"código não encontrado"))</f>
        <v/>
      </c>
      <c r="E342" s="24" t="str">
        <f aca="false">IF(C342="","",IFERROR(INDEX('Cadastro Mestre'!$Q$5:$Q$504,MATCH(C342,'Cadastro Mestre'!$A$5:$A$504,0)),""))</f>
        <v/>
      </c>
      <c r="F342" s="21"/>
      <c r="G342" s="21"/>
      <c r="H342" s="21"/>
      <c r="I342" s="21"/>
    </row>
    <row r="343" customFormat="false" ht="15" hidden="false" customHeight="false" outlineLevel="0" collapsed="false">
      <c r="A343" s="25"/>
      <c r="B343" s="21"/>
      <c r="C343" s="21"/>
      <c r="D343" s="26" t="str">
        <f aca="false">IF(C343="","",IFERROR(INDEX('Cadastro Mestre'!$C$5:$C$504,MATCH(C343,'Cadastro Mestre'!$A$5:$A$504,0)),"código não encontrado"))</f>
        <v/>
      </c>
      <c r="E343" s="24" t="str">
        <f aca="false">IF(C343="","",IFERROR(INDEX('Cadastro Mestre'!$Q$5:$Q$504,MATCH(C343,'Cadastro Mestre'!$A$5:$A$504,0)),""))</f>
        <v/>
      </c>
      <c r="F343" s="21"/>
      <c r="G343" s="21"/>
      <c r="H343" s="21"/>
      <c r="I343" s="21"/>
    </row>
    <row r="344" customFormat="false" ht="15" hidden="false" customHeight="false" outlineLevel="0" collapsed="false">
      <c r="A344" s="25"/>
      <c r="B344" s="21"/>
      <c r="C344" s="21"/>
      <c r="D344" s="26" t="str">
        <f aca="false">IF(C344="","",IFERROR(INDEX('Cadastro Mestre'!$C$5:$C$504,MATCH(C344,'Cadastro Mestre'!$A$5:$A$504,0)),"código não encontrado"))</f>
        <v/>
      </c>
      <c r="E344" s="24" t="str">
        <f aca="false">IF(C344="","",IFERROR(INDEX('Cadastro Mestre'!$Q$5:$Q$504,MATCH(C344,'Cadastro Mestre'!$A$5:$A$504,0)),""))</f>
        <v/>
      </c>
      <c r="F344" s="21"/>
      <c r="G344" s="21"/>
      <c r="H344" s="21"/>
      <c r="I344" s="21"/>
    </row>
    <row r="345" customFormat="false" ht="15" hidden="false" customHeight="false" outlineLevel="0" collapsed="false">
      <c r="A345" s="25"/>
      <c r="B345" s="21"/>
      <c r="C345" s="21"/>
      <c r="D345" s="26" t="str">
        <f aca="false">IF(C345="","",IFERROR(INDEX('Cadastro Mestre'!$C$5:$C$504,MATCH(C345,'Cadastro Mestre'!$A$5:$A$504,0)),"código não encontrado"))</f>
        <v/>
      </c>
      <c r="E345" s="24" t="str">
        <f aca="false">IF(C345="","",IFERROR(INDEX('Cadastro Mestre'!$Q$5:$Q$504,MATCH(C345,'Cadastro Mestre'!$A$5:$A$504,0)),""))</f>
        <v/>
      </c>
      <c r="F345" s="21"/>
      <c r="G345" s="21"/>
      <c r="H345" s="21"/>
      <c r="I345" s="21"/>
    </row>
    <row r="346" customFormat="false" ht="15" hidden="false" customHeight="false" outlineLevel="0" collapsed="false">
      <c r="A346" s="25"/>
      <c r="B346" s="21"/>
      <c r="C346" s="21"/>
      <c r="D346" s="26" t="str">
        <f aca="false">IF(C346="","",IFERROR(INDEX('Cadastro Mestre'!$C$5:$C$504,MATCH(C346,'Cadastro Mestre'!$A$5:$A$504,0)),"código não encontrado"))</f>
        <v/>
      </c>
      <c r="E346" s="24" t="str">
        <f aca="false">IF(C346="","",IFERROR(INDEX('Cadastro Mestre'!$Q$5:$Q$504,MATCH(C346,'Cadastro Mestre'!$A$5:$A$504,0)),""))</f>
        <v/>
      </c>
      <c r="F346" s="21"/>
      <c r="G346" s="21"/>
      <c r="H346" s="21"/>
      <c r="I346" s="21"/>
    </row>
    <row r="347" customFormat="false" ht="15" hidden="false" customHeight="false" outlineLevel="0" collapsed="false">
      <c r="A347" s="25"/>
      <c r="B347" s="21"/>
      <c r="C347" s="21"/>
      <c r="D347" s="26" t="str">
        <f aca="false">IF(C347="","",IFERROR(INDEX('Cadastro Mestre'!$C$5:$C$504,MATCH(C347,'Cadastro Mestre'!$A$5:$A$504,0)),"código não encontrado"))</f>
        <v/>
      </c>
      <c r="E347" s="24" t="str">
        <f aca="false">IF(C347="","",IFERROR(INDEX('Cadastro Mestre'!$Q$5:$Q$504,MATCH(C347,'Cadastro Mestre'!$A$5:$A$504,0)),""))</f>
        <v/>
      </c>
      <c r="F347" s="21"/>
      <c r="G347" s="21"/>
      <c r="H347" s="21"/>
      <c r="I347" s="21"/>
    </row>
    <row r="348" customFormat="false" ht="15" hidden="false" customHeight="false" outlineLevel="0" collapsed="false">
      <c r="A348" s="25"/>
      <c r="B348" s="21"/>
      <c r="C348" s="21"/>
      <c r="D348" s="26" t="str">
        <f aca="false">IF(C348="","",IFERROR(INDEX('Cadastro Mestre'!$C$5:$C$504,MATCH(C348,'Cadastro Mestre'!$A$5:$A$504,0)),"código não encontrado"))</f>
        <v/>
      </c>
      <c r="E348" s="24" t="str">
        <f aca="false">IF(C348="","",IFERROR(INDEX('Cadastro Mestre'!$Q$5:$Q$504,MATCH(C348,'Cadastro Mestre'!$A$5:$A$504,0)),""))</f>
        <v/>
      </c>
      <c r="F348" s="21"/>
      <c r="G348" s="21"/>
      <c r="H348" s="21"/>
      <c r="I348" s="21"/>
    </row>
    <row r="349" customFormat="false" ht="15" hidden="false" customHeight="false" outlineLevel="0" collapsed="false">
      <c r="A349" s="25"/>
      <c r="B349" s="21"/>
      <c r="C349" s="21"/>
      <c r="D349" s="26" t="str">
        <f aca="false">IF(C349="","",IFERROR(INDEX('Cadastro Mestre'!$C$5:$C$504,MATCH(C349,'Cadastro Mestre'!$A$5:$A$504,0)),"código não encontrado"))</f>
        <v/>
      </c>
      <c r="E349" s="24" t="str">
        <f aca="false">IF(C349="","",IFERROR(INDEX('Cadastro Mestre'!$Q$5:$Q$504,MATCH(C349,'Cadastro Mestre'!$A$5:$A$504,0)),""))</f>
        <v/>
      </c>
      <c r="F349" s="21"/>
      <c r="G349" s="21"/>
      <c r="H349" s="21"/>
      <c r="I349" s="21"/>
    </row>
    <row r="350" customFormat="false" ht="15" hidden="false" customHeight="false" outlineLevel="0" collapsed="false">
      <c r="A350" s="25"/>
      <c r="B350" s="21"/>
      <c r="C350" s="21"/>
      <c r="D350" s="26" t="str">
        <f aca="false">IF(C350="","",IFERROR(INDEX('Cadastro Mestre'!$C$5:$C$504,MATCH(C350,'Cadastro Mestre'!$A$5:$A$504,0)),"código não encontrado"))</f>
        <v/>
      </c>
      <c r="E350" s="24" t="str">
        <f aca="false">IF(C350="","",IFERROR(INDEX('Cadastro Mestre'!$Q$5:$Q$504,MATCH(C350,'Cadastro Mestre'!$A$5:$A$504,0)),""))</f>
        <v/>
      </c>
      <c r="F350" s="21"/>
      <c r="G350" s="21"/>
      <c r="H350" s="21"/>
      <c r="I350" s="21"/>
    </row>
    <row r="351" customFormat="false" ht="15" hidden="false" customHeight="false" outlineLevel="0" collapsed="false">
      <c r="A351" s="25"/>
      <c r="B351" s="21"/>
      <c r="C351" s="21"/>
      <c r="D351" s="26" t="str">
        <f aca="false">IF(C351="","",IFERROR(INDEX('Cadastro Mestre'!$C$5:$C$504,MATCH(C351,'Cadastro Mestre'!$A$5:$A$504,0)),"código não encontrado"))</f>
        <v/>
      </c>
      <c r="E351" s="24" t="str">
        <f aca="false">IF(C351="","",IFERROR(INDEX('Cadastro Mestre'!$Q$5:$Q$504,MATCH(C351,'Cadastro Mestre'!$A$5:$A$504,0)),""))</f>
        <v/>
      </c>
      <c r="F351" s="21"/>
      <c r="G351" s="21"/>
      <c r="H351" s="21"/>
      <c r="I351" s="21"/>
    </row>
    <row r="352" customFormat="false" ht="15" hidden="false" customHeight="false" outlineLevel="0" collapsed="false">
      <c r="A352" s="25"/>
      <c r="B352" s="21"/>
      <c r="C352" s="21"/>
      <c r="D352" s="26" t="str">
        <f aca="false">IF(C352="","",IFERROR(INDEX('Cadastro Mestre'!$C$5:$C$504,MATCH(C352,'Cadastro Mestre'!$A$5:$A$504,0)),"código não encontrado"))</f>
        <v/>
      </c>
      <c r="E352" s="24" t="str">
        <f aca="false">IF(C352="","",IFERROR(INDEX('Cadastro Mestre'!$Q$5:$Q$504,MATCH(C352,'Cadastro Mestre'!$A$5:$A$504,0)),""))</f>
        <v/>
      </c>
      <c r="F352" s="21"/>
      <c r="G352" s="21"/>
      <c r="H352" s="21"/>
      <c r="I352" s="21"/>
    </row>
    <row r="353" customFormat="false" ht="15" hidden="false" customHeight="false" outlineLevel="0" collapsed="false">
      <c r="A353" s="25"/>
      <c r="B353" s="21"/>
      <c r="C353" s="21"/>
      <c r="D353" s="26" t="str">
        <f aca="false">IF(C353="","",IFERROR(INDEX('Cadastro Mestre'!$C$5:$C$504,MATCH(C353,'Cadastro Mestre'!$A$5:$A$504,0)),"código não encontrado"))</f>
        <v/>
      </c>
      <c r="E353" s="24" t="str">
        <f aca="false">IF(C353="","",IFERROR(INDEX('Cadastro Mestre'!$Q$5:$Q$504,MATCH(C353,'Cadastro Mestre'!$A$5:$A$504,0)),""))</f>
        <v/>
      </c>
      <c r="F353" s="21"/>
      <c r="G353" s="21"/>
      <c r="H353" s="21"/>
      <c r="I353" s="21"/>
    </row>
    <row r="354" customFormat="false" ht="15" hidden="false" customHeight="false" outlineLevel="0" collapsed="false">
      <c r="A354" s="25"/>
      <c r="B354" s="21"/>
      <c r="C354" s="21"/>
      <c r="D354" s="26" t="str">
        <f aca="false">IF(C354="","",IFERROR(INDEX('Cadastro Mestre'!$C$5:$C$504,MATCH(C354,'Cadastro Mestre'!$A$5:$A$504,0)),"código não encontrado"))</f>
        <v/>
      </c>
      <c r="E354" s="24" t="str">
        <f aca="false">IF(C354="","",IFERROR(INDEX('Cadastro Mestre'!$Q$5:$Q$504,MATCH(C354,'Cadastro Mestre'!$A$5:$A$504,0)),""))</f>
        <v/>
      </c>
      <c r="F354" s="21"/>
      <c r="G354" s="21"/>
      <c r="H354" s="21"/>
      <c r="I354" s="21"/>
    </row>
    <row r="355" customFormat="false" ht="15" hidden="false" customHeight="false" outlineLevel="0" collapsed="false">
      <c r="A355" s="25"/>
      <c r="B355" s="21"/>
      <c r="C355" s="21"/>
      <c r="D355" s="26" t="str">
        <f aca="false">IF(C355="","",IFERROR(INDEX('Cadastro Mestre'!$C$5:$C$504,MATCH(C355,'Cadastro Mestre'!$A$5:$A$504,0)),"código não encontrado"))</f>
        <v/>
      </c>
      <c r="E355" s="24" t="str">
        <f aca="false">IF(C355="","",IFERROR(INDEX('Cadastro Mestre'!$Q$5:$Q$504,MATCH(C355,'Cadastro Mestre'!$A$5:$A$504,0)),""))</f>
        <v/>
      </c>
      <c r="F355" s="21"/>
      <c r="G355" s="21"/>
      <c r="H355" s="21"/>
      <c r="I355" s="21"/>
    </row>
    <row r="356" customFormat="false" ht="15" hidden="false" customHeight="false" outlineLevel="0" collapsed="false">
      <c r="A356" s="25"/>
      <c r="B356" s="21"/>
      <c r="C356" s="21"/>
      <c r="D356" s="26" t="str">
        <f aca="false">IF(C356="","",IFERROR(INDEX('Cadastro Mestre'!$C$5:$C$504,MATCH(C356,'Cadastro Mestre'!$A$5:$A$504,0)),"código não encontrado"))</f>
        <v/>
      </c>
      <c r="E356" s="24" t="str">
        <f aca="false">IF(C356="","",IFERROR(INDEX('Cadastro Mestre'!$Q$5:$Q$504,MATCH(C356,'Cadastro Mestre'!$A$5:$A$504,0)),""))</f>
        <v/>
      </c>
      <c r="F356" s="21"/>
      <c r="G356" s="21"/>
      <c r="H356" s="21"/>
      <c r="I356" s="21"/>
    </row>
    <row r="357" customFormat="false" ht="15" hidden="false" customHeight="false" outlineLevel="0" collapsed="false">
      <c r="A357" s="25"/>
      <c r="B357" s="21"/>
      <c r="C357" s="21"/>
      <c r="D357" s="26" t="str">
        <f aca="false">IF(C357="","",IFERROR(INDEX('Cadastro Mestre'!$C$5:$C$504,MATCH(C357,'Cadastro Mestre'!$A$5:$A$504,0)),"código não encontrado"))</f>
        <v/>
      </c>
      <c r="E357" s="24" t="str">
        <f aca="false">IF(C357="","",IFERROR(INDEX('Cadastro Mestre'!$Q$5:$Q$504,MATCH(C357,'Cadastro Mestre'!$A$5:$A$504,0)),""))</f>
        <v/>
      </c>
      <c r="F357" s="21"/>
      <c r="G357" s="21"/>
      <c r="H357" s="21"/>
      <c r="I357" s="21"/>
    </row>
    <row r="358" customFormat="false" ht="15" hidden="false" customHeight="false" outlineLevel="0" collapsed="false">
      <c r="A358" s="25"/>
      <c r="B358" s="21"/>
      <c r="C358" s="21"/>
      <c r="D358" s="26" t="str">
        <f aca="false">IF(C358="","",IFERROR(INDEX('Cadastro Mestre'!$C$5:$C$504,MATCH(C358,'Cadastro Mestre'!$A$5:$A$504,0)),"código não encontrado"))</f>
        <v/>
      </c>
      <c r="E358" s="24" t="str">
        <f aca="false">IF(C358="","",IFERROR(INDEX('Cadastro Mestre'!$Q$5:$Q$504,MATCH(C358,'Cadastro Mestre'!$A$5:$A$504,0)),""))</f>
        <v/>
      </c>
      <c r="F358" s="21"/>
      <c r="G358" s="21"/>
      <c r="H358" s="21"/>
      <c r="I358" s="21"/>
    </row>
    <row r="359" customFormat="false" ht="15" hidden="false" customHeight="false" outlineLevel="0" collapsed="false">
      <c r="A359" s="25"/>
      <c r="B359" s="21"/>
      <c r="C359" s="21"/>
      <c r="D359" s="26" t="str">
        <f aca="false">IF(C359="","",IFERROR(INDEX('Cadastro Mestre'!$C$5:$C$504,MATCH(C359,'Cadastro Mestre'!$A$5:$A$504,0)),"código não encontrado"))</f>
        <v/>
      </c>
      <c r="E359" s="24" t="str">
        <f aca="false">IF(C359="","",IFERROR(INDEX('Cadastro Mestre'!$Q$5:$Q$504,MATCH(C359,'Cadastro Mestre'!$A$5:$A$504,0)),""))</f>
        <v/>
      </c>
      <c r="F359" s="21"/>
      <c r="G359" s="21"/>
      <c r="H359" s="21"/>
      <c r="I359" s="21"/>
    </row>
    <row r="360" customFormat="false" ht="15" hidden="false" customHeight="false" outlineLevel="0" collapsed="false">
      <c r="A360" s="25"/>
      <c r="B360" s="21"/>
      <c r="C360" s="21"/>
      <c r="D360" s="26" t="str">
        <f aca="false">IF(C360="","",IFERROR(INDEX('Cadastro Mestre'!$C$5:$C$504,MATCH(C360,'Cadastro Mestre'!$A$5:$A$504,0)),"código não encontrado"))</f>
        <v/>
      </c>
      <c r="E360" s="24" t="str">
        <f aca="false">IF(C360="","",IFERROR(INDEX('Cadastro Mestre'!$Q$5:$Q$504,MATCH(C360,'Cadastro Mestre'!$A$5:$A$504,0)),""))</f>
        <v/>
      </c>
      <c r="F360" s="21"/>
      <c r="G360" s="21"/>
      <c r="H360" s="21"/>
      <c r="I360" s="21"/>
    </row>
    <row r="361" customFormat="false" ht="15" hidden="false" customHeight="false" outlineLevel="0" collapsed="false">
      <c r="A361" s="25"/>
      <c r="B361" s="21"/>
      <c r="C361" s="21"/>
      <c r="D361" s="26" t="str">
        <f aca="false">IF(C361="","",IFERROR(INDEX('Cadastro Mestre'!$C$5:$C$504,MATCH(C361,'Cadastro Mestre'!$A$5:$A$504,0)),"código não encontrado"))</f>
        <v/>
      </c>
      <c r="E361" s="24" t="str">
        <f aca="false">IF(C361="","",IFERROR(INDEX('Cadastro Mestre'!$Q$5:$Q$504,MATCH(C361,'Cadastro Mestre'!$A$5:$A$504,0)),""))</f>
        <v/>
      </c>
      <c r="F361" s="21"/>
      <c r="G361" s="21"/>
      <c r="H361" s="21"/>
      <c r="I361" s="21"/>
    </row>
    <row r="362" customFormat="false" ht="15" hidden="false" customHeight="false" outlineLevel="0" collapsed="false">
      <c r="A362" s="25"/>
      <c r="B362" s="21"/>
      <c r="C362" s="21"/>
      <c r="D362" s="26" t="str">
        <f aca="false">IF(C362="","",IFERROR(INDEX('Cadastro Mestre'!$C$5:$C$504,MATCH(C362,'Cadastro Mestre'!$A$5:$A$504,0)),"código não encontrado"))</f>
        <v/>
      </c>
      <c r="E362" s="24" t="str">
        <f aca="false">IF(C362="","",IFERROR(INDEX('Cadastro Mestre'!$Q$5:$Q$504,MATCH(C362,'Cadastro Mestre'!$A$5:$A$504,0)),""))</f>
        <v/>
      </c>
      <c r="F362" s="21"/>
      <c r="G362" s="21"/>
      <c r="H362" s="21"/>
      <c r="I362" s="21"/>
    </row>
    <row r="363" customFormat="false" ht="15" hidden="false" customHeight="false" outlineLevel="0" collapsed="false">
      <c r="A363" s="25"/>
      <c r="B363" s="21"/>
      <c r="C363" s="21"/>
      <c r="D363" s="26" t="str">
        <f aca="false">IF(C363="","",IFERROR(INDEX('Cadastro Mestre'!$C$5:$C$504,MATCH(C363,'Cadastro Mestre'!$A$5:$A$504,0)),"código não encontrado"))</f>
        <v/>
      </c>
      <c r="E363" s="24" t="str">
        <f aca="false">IF(C363="","",IFERROR(INDEX('Cadastro Mestre'!$Q$5:$Q$504,MATCH(C363,'Cadastro Mestre'!$A$5:$A$504,0)),""))</f>
        <v/>
      </c>
      <c r="F363" s="21"/>
      <c r="G363" s="21"/>
      <c r="H363" s="21"/>
      <c r="I363" s="21"/>
    </row>
    <row r="364" customFormat="false" ht="15" hidden="false" customHeight="false" outlineLevel="0" collapsed="false">
      <c r="A364" s="25"/>
      <c r="B364" s="21"/>
      <c r="C364" s="21"/>
      <c r="D364" s="26" t="str">
        <f aca="false">IF(C364="","",IFERROR(INDEX('Cadastro Mestre'!$C$5:$C$504,MATCH(C364,'Cadastro Mestre'!$A$5:$A$504,0)),"código não encontrado"))</f>
        <v/>
      </c>
      <c r="E364" s="24" t="str">
        <f aca="false">IF(C364="","",IFERROR(INDEX('Cadastro Mestre'!$Q$5:$Q$504,MATCH(C364,'Cadastro Mestre'!$A$5:$A$504,0)),""))</f>
        <v/>
      </c>
      <c r="F364" s="21"/>
      <c r="G364" s="21"/>
      <c r="H364" s="21"/>
      <c r="I364" s="21"/>
    </row>
    <row r="365" customFormat="false" ht="15" hidden="false" customHeight="false" outlineLevel="0" collapsed="false">
      <c r="A365" s="25"/>
      <c r="B365" s="21"/>
      <c r="C365" s="21"/>
      <c r="D365" s="26" t="str">
        <f aca="false">IF(C365="","",IFERROR(INDEX('Cadastro Mestre'!$C$5:$C$504,MATCH(C365,'Cadastro Mestre'!$A$5:$A$504,0)),"código não encontrado"))</f>
        <v/>
      </c>
      <c r="E365" s="24" t="str">
        <f aca="false">IF(C365="","",IFERROR(INDEX('Cadastro Mestre'!$Q$5:$Q$504,MATCH(C365,'Cadastro Mestre'!$A$5:$A$504,0)),""))</f>
        <v/>
      </c>
      <c r="F365" s="21"/>
      <c r="G365" s="21"/>
      <c r="H365" s="21"/>
      <c r="I365" s="21"/>
    </row>
    <row r="366" customFormat="false" ht="15" hidden="false" customHeight="false" outlineLevel="0" collapsed="false">
      <c r="A366" s="25"/>
      <c r="B366" s="21"/>
      <c r="C366" s="21"/>
      <c r="D366" s="26" t="str">
        <f aca="false">IF(C366="","",IFERROR(INDEX('Cadastro Mestre'!$C$5:$C$504,MATCH(C366,'Cadastro Mestre'!$A$5:$A$504,0)),"código não encontrado"))</f>
        <v/>
      </c>
      <c r="E366" s="24" t="str">
        <f aca="false">IF(C366="","",IFERROR(INDEX('Cadastro Mestre'!$Q$5:$Q$504,MATCH(C366,'Cadastro Mestre'!$A$5:$A$504,0)),""))</f>
        <v/>
      </c>
      <c r="F366" s="21"/>
      <c r="G366" s="21"/>
      <c r="H366" s="21"/>
      <c r="I366" s="21"/>
    </row>
    <row r="367" customFormat="false" ht="15" hidden="false" customHeight="false" outlineLevel="0" collapsed="false">
      <c r="A367" s="25"/>
      <c r="B367" s="21"/>
      <c r="C367" s="21"/>
      <c r="D367" s="26" t="str">
        <f aca="false">IF(C367="","",IFERROR(INDEX('Cadastro Mestre'!$C$5:$C$504,MATCH(C367,'Cadastro Mestre'!$A$5:$A$504,0)),"código não encontrado"))</f>
        <v/>
      </c>
      <c r="E367" s="24" t="str">
        <f aca="false">IF(C367="","",IFERROR(INDEX('Cadastro Mestre'!$Q$5:$Q$504,MATCH(C367,'Cadastro Mestre'!$A$5:$A$504,0)),""))</f>
        <v/>
      </c>
      <c r="F367" s="21"/>
      <c r="G367" s="21"/>
      <c r="H367" s="21"/>
      <c r="I367" s="21"/>
    </row>
    <row r="368" customFormat="false" ht="15" hidden="false" customHeight="false" outlineLevel="0" collapsed="false">
      <c r="A368" s="25"/>
      <c r="B368" s="21"/>
      <c r="C368" s="21"/>
      <c r="D368" s="26" t="str">
        <f aca="false">IF(C368="","",IFERROR(INDEX('Cadastro Mestre'!$C$5:$C$504,MATCH(C368,'Cadastro Mestre'!$A$5:$A$504,0)),"código não encontrado"))</f>
        <v/>
      </c>
      <c r="E368" s="24" t="str">
        <f aca="false">IF(C368="","",IFERROR(INDEX('Cadastro Mestre'!$Q$5:$Q$504,MATCH(C368,'Cadastro Mestre'!$A$5:$A$504,0)),""))</f>
        <v/>
      </c>
      <c r="F368" s="21"/>
      <c r="G368" s="21"/>
      <c r="H368" s="21"/>
      <c r="I368" s="21"/>
    </row>
    <row r="369" customFormat="false" ht="15" hidden="false" customHeight="false" outlineLevel="0" collapsed="false">
      <c r="A369" s="25"/>
      <c r="B369" s="21"/>
      <c r="C369" s="21"/>
      <c r="D369" s="26" t="str">
        <f aca="false">IF(C369="","",IFERROR(INDEX('Cadastro Mestre'!$C$5:$C$504,MATCH(C369,'Cadastro Mestre'!$A$5:$A$504,0)),"código não encontrado"))</f>
        <v/>
      </c>
      <c r="E369" s="24" t="str">
        <f aca="false">IF(C369="","",IFERROR(INDEX('Cadastro Mestre'!$Q$5:$Q$504,MATCH(C369,'Cadastro Mestre'!$A$5:$A$504,0)),""))</f>
        <v/>
      </c>
      <c r="F369" s="21"/>
      <c r="G369" s="21"/>
      <c r="H369" s="21"/>
      <c r="I369" s="21"/>
    </row>
    <row r="370" customFormat="false" ht="15" hidden="false" customHeight="false" outlineLevel="0" collapsed="false">
      <c r="A370" s="25"/>
      <c r="B370" s="21"/>
      <c r="C370" s="21"/>
      <c r="D370" s="26" t="str">
        <f aca="false">IF(C370="","",IFERROR(INDEX('Cadastro Mestre'!$C$5:$C$504,MATCH(C370,'Cadastro Mestre'!$A$5:$A$504,0)),"código não encontrado"))</f>
        <v/>
      </c>
      <c r="E370" s="24" t="str">
        <f aca="false">IF(C370="","",IFERROR(INDEX('Cadastro Mestre'!$Q$5:$Q$504,MATCH(C370,'Cadastro Mestre'!$A$5:$A$504,0)),""))</f>
        <v/>
      </c>
      <c r="F370" s="21"/>
      <c r="G370" s="21"/>
      <c r="H370" s="21"/>
      <c r="I370" s="21"/>
    </row>
    <row r="371" customFormat="false" ht="15" hidden="false" customHeight="false" outlineLevel="0" collapsed="false">
      <c r="A371" s="25"/>
      <c r="B371" s="21"/>
      <c r="C371" s="21"/>
      <c r="D371" s="26" t="str">
        <f aca="false">IF(C371="","",IFERROR(INDEX('Cadastro Mestre'!$C$5:$C$504,MATCH(C371,'Cadastro Mestre'!$A$5:$A$504,0)),"código não encontrado"))</f>
        <v/>
      </c>
      <c r="E371" s="24" t="str">
        <f aca="false">IF(C371="","",IFERROR(INDEX('Cadastro Mestre'!$Q$5:$Q$504,MATCH(C371,'Cadastro Mestre'!$A$5:$A$504,0)),""))</f>
        <v/>
      </c>
      <c r="F371" s="21"/>
      <c r="G371" s="21"/>
      <c r="H371" s="21"/>
      <c r="I371" s="21"/>
    </row>
    <row r="372" customFormat="false" ht="15" hidden="false" customHeight="false" outlineLevel="0" collapsed="false">
      <c r="A372" s="25"/>
      <c r="B372" s="21"/>
      <c r="C372" s="21"/>
      <c r="D372" s="26" t="str">
        <f aca="false">IF(C372="","",IFERROR(INDEX('Cadastro Mestre'!$C$5:$C$504,MATCH(C372,'Cadastro Mestre'!$A$5:$A$504,0)),"código não encontrado"))</f>
        <v/>
      </c>
      <c r="E372" s="24" t="str">
        <f aca="false">IF(C372="","",IFERROR(INDEX('Cadastro Mestre'!$Q$5:$Q$504,MATCH(C372,'Cadastro Mestre'!$A$5:$A$504,0)),""))</f>
        <v/>
      </c>
      <c r="F372" s="21"/>
      <c r="G372" s="21"/>
      <c r="H372" s="21"/>
      <c r="I372" s="21"/>
    </row>
    <row r="373" customFormat="false" ht="15" hidden="false" customHeight="false" outlineLevel="0" collapsed="false">
      <c r="A373" s="25"/>
      <c r="B373" s="21"/>
      <c r="C373" s="21"/>
      <c r="D373" s="26" t="str">
        <f aca="false">IF(C373="","",IFERROR(INDEX('Cadastro Mestre'!$C$5:$C$504,MATCH(C373,'Cadastro Mestre'!$A$5:$A$504,0)),"código não encontrado"))</f>
        <v/>
      </c>
      <c r="E373" s="24" t="str">
        <f aca="false">IF(C373="","",IFERROR(INDEX('Cadastro Mestre'!$Q$5:$Q$504,MATCH(C373,'Cadastro Mestre'!$A$5:$A$504,0)),""))</f>
        <v/>
      </c>
      <c r="F373" s="21"/>
      <c r="G373" s="21"/>
      <c r="H373" s="21"/>
      <c r="I373" s="21"/>
    </row>
    <row r="374" customFormat="false" ht="15" hidden="false" customHeight="false" outlineLevel="0" collapsed="false">
      <c r="A374" s="25"/>
      <c r="B374" s="21"/>
      <c r="C374" s="21"/>
      <c r="D374" s="26" t="str">
        <f aca="false">IF(C374="","",IFERROR(INDEX('Cadastro Mestre'!$C$5:$C$504,MATCH(C374,'Cadastro Mestre'!$A$5:$A$504,0)),"código não encontrado"))</f>
        <v/>
      </c>
      <c r="E374" s="24" t="str">
        <f aca="false">IF(C374="","",IFERROR(INDEX('Cadastro Mestre'!$Q$5:$Q$504,MATCH(C374,'Cadastro Mestre'!$A$5:$A$504,0)),""))</f>
        <v/>
      </c>
      <c r="F374" s="21"/>
      <c r="G374" s="21"/>
      <c r="H374" s="21"/>
      <c r="I374" s="21"/>
    </row>
    <row r="375" customFormat="false" ht="15" hidden="false" customHeight="false" outlineLevel="0" collapsed="false">
      <c r="A375" s="25"/>
      <c r="B375" s="21"/>
      <c r="C375" s="21"/>
      <c r="D375" s="26" t="str">
        <f aca="false">IF(C375="","",IFERROR(INDEX('Cadastro Mestre'!$C$5:$C$504,MATCH(C375,'Cadastro Mestre'!$A$5:$A$504,0)),"código não encontrado"))</f>
        <v/>
      </c>
      <c r="E375" s="24" t="str">
        <f aca="false">IF(C375="","",IFERROR(INDEX('Cadastro Mestre'!$Q$5:$Q$504,MATCH(C375,'Cadastro Mestre'!$A$5:$A$504,0)),""))</f>
        <v/>
      </c>
      <c r="F375" s="21"/>
      <c r="G375" s="21"/>
      <c r="H375" s="21"/>
      <c r="I375" s="21"/>
    </row>
    <row r="376" customFormat="false" ht="15" hidden="false" customHeight="false" outlineLevel="0" collapsed="false">
      <c r="A376" s="25"/>
      <c r="B376" s="21"/>
      <c r="C376" s="21"/>
      <c r="D376" s="26" t="str">
        <f aca="false">IF(C376="","",IFERROR(INDEX('Cadastro Mestre'!$C$5:$C$504,MATCH(C376,'Cadastro Mestre'!$A$5:$A$504,0)),"código não encontrado"))</f>
        <v/>
      </c>
      <c r="E376" s="24" t="str">
        <f aca="false">IF(C376="","",IFERROR(INDEX('Cadastro Mestre'!$Q$5:$Q$504,MATCH(C376,'Cadastro Mestre'!$A$5:$A$504,0)),""))</f>
        <v/>
      </c>
      <c r="F376" s="21"/>
      <c r="G376" s="21"/>
      <c r="H376" s="21"/>
      <c r="I376" s="21"/>
    </row>
    <row r="377" customFormat="false" ht="15" hidden="false" customHeight="false" outlineLevel="0" collapsed="false">
      <c r="A377" s="25"/>
      <c r="B377" s="21"/>
      <c r="C377" s="21"/>
      <c r="D377" s="26" t="str">
        <f aca="false">IF(C377="","",IFERROR(INDEX('Cadastro Mestre'!$C$5:$C$504,MATCH(C377,'Cadastro Mestre'!$A$5:$A$504,0)),"código não encontrado"))</f>
        <v/>
      </c>
      <c r="E377" s="24" t="str">
        <f aca="false">IF(C377="","",IFERROR(INDEX('Cadastro Mestre'!$Q$5:$Q$504,MATCH(C377,'Cadastro Mestre'!$A$5:$A$504,0)),""))</f>
        <v/>
      </c>
      <c r="F377" s="21"/>
      <c r="G377" s="21"/>
      <c r="H377" s="21"/>
      <c r="I377" s="21"/>
    </row>
    <row r="378" customFormat="false" ht="15" hidden="false" customHeight="false" outlineLevel="0" collapsed="false">
      <c r="A378" s="25"/>
      <c r="B378" s="21"/>
      <c r="C378" s="21"/>
      <c r="D378" s="26" t="str">
        <f aca="false">IF(C378="","",IFERROR(INDEX('Cadastro Mestre'!$C$5:$C$504,MATCH(C378,'Cadastro Mestre'!$A$5:$A$504,0)),"código não encontrado"))</f>
        <v/>
      </c>
      <c r="E378" s="24" t="str">
        <f aca="false">IF(C378="","",IFERROR(INDEX('Cadastro Mestre'!$Q$5:$Q$504,MATCH(C378,'Cadastro Mestre'!$A$5:$A$504,0)),""))</f>
        <v/>
      </c>
      <c r="F378" s="21"/>
      <c r="G378" s="21"/>
      <c r="H378" s="21"/>
      <c r="I378" s="21"/>
    </row>
    <row r="379" customFormat="false" ht="15" hidden="false" customHeight="false" outlineLevel="0" collapsed="false">
      <c r="A379" s="25"/>
      <c r="B379" s="21"/>
      <c r="C379" s="21"/>
      <c r="D379" s="26" t="str">
        <f aca="false">IF(C379="","",IFERROR(INDEX('Cadastro Mestre'!$C$5:$C$504,MATCH(C379,'Cadastro Mestre'!$A$5:$A$504,0)),"código não encontrado"))</f>
        <v/>
      </c>
      <c r="E379" s="24" t="str">
        <f aca="false">IF(C379="","",IFERROR(INDEX('Cadastro Mestre'!$Q$5:$Q$504,MATCH(C379,'Cadastro Mestre'!$A$5:$A$504,0)),""))</f>
        <v/>
      </c>
      <c r="F379" s="21"/>
      <c r="G379" s="21"/>
      <c r="H379" s="21"/>
      <c r="I379" s="21"/>
    </row>
    <row r="380" customFormat="false" ht="15" hidden="false" customHeight="false" outlineLevel="0" collapsed="false">
      <c r="A380" s="25"/>
      <c r="B380" s="21"/>
      <c r="C380" s="21"/>
      <c r="D380" s="26" t="str">
        <f aca="false">IF(C380="","",IFERROR(INDEX('Cadastro Mestre'!$C$5:$C$504,MATCH(C380,'Cadastro Mestre'!$A$5:$A$504,0)),"código não encontrado"))</f>
        <v/>
      </c>
      <c r="E380" s="24" t="str">
        <f aca="false">IF(C380="","",IFERROR(INDEX('Cadastro Mestre'!$Q$5:$Q$504,MATCH(C380,'Cadastro Mestre'!$A$5:$A$504,0)),""))</f>
        <v/>
      </c>
      <c r="F380" s="21"/>
      <c r="G380" s="21"/>
      <c r="H380" s="21"/>
      <c r="I380" s="21"/>
    </row>
    <row r="381" customFormat="false" ht="15" hidden="false" customHeight="false" outlineLevel="0" collapsed="false">
      <c r="A381" s="25"/>
      <c r="B381" s="21"/>
      <c r="C381" s="21"/>
      <c r="D381" s="26" t="str">
        <f aca="false">IF(C381="","",IFERROR(INDEX('Cadastro Mestre'!$C$5:$C$504,MATCH(C381,'Cadastro Mestre'!$A$5:$A$504,0)),"código não encontrado"))</f>
        <v/>
      </c>
      <c r="E381" s="24" t="str">
        <f aca="false">IF(C381="","",IFERROR(INDEX('Cadastro Mestre'!$Q$5:$Q$504,MATCH(C381,'Cadastro Mestre'!$A$5:$A$504,0)),""))</f>
        <v/>
      </c>
      <c r="F381" s="21"/>
      <c r="G381" s="21"/>
      <c r="H381" s="21"/>
      <c r="I381" s="21"/>
    </row>
    <row r="382" customFormat="false" ht="15" hidden="false" customHeight="false" outlineLevel="0" collapsed="false">
      <c r="A382" s="25"/>
      <c r="B382" s="21"/>
      <c r="C382" s="21"/>
      <c r="D382" s="26" t="str">
        <f aca="false">IF(C382="","",IFERROR(INDEX('Cadastro Mestre'!$C$5:$C$504,MATCH(C382,'Cadastro Mestre'!$A$5:$A$504,0)),"código não encontrado"))</f>
        <v/>
      </c>
      <c r="E382" s="24" t="str">
        <f aca="false">IF(C382="","",IFERROR(INDEX('Cadastro Mestre'!$Q$5:$Q$504,MATCH(C382,'Cadastro Mestre'!$A$5:$A$504,0)),""))</f>
        <v/>
      </c>
      <c r="F382" s="21"/>
      <c r="G382" s="21"/>
      <c r="H382" s="21"/>
      <c r="I382" s="21"/>
    </row>
    <row r="383" customFormat="false" ht="15" hidden="false" customHeight="false" outlineLevel="0" collapsed="false">
      <c r="A383" s="25"/>
      <c r="B383" s="21"/>
      <c r="C383" s="21"/>
      <c r="D383" s="26" t="str">
        <f aca="false">IF(C383="","",IFERROR(INDEX('Cadastro Mestre'!$C$5:$C$504,MATCH(C383,'Cadastro Mestre'!$A$5:$A$504,0)),"código não encontrado"))</f>
        <v/>
      </c>
      <c r="E383" s="24" t="str">
        <f aca="false">IF(C383="","",IFERROR(INDEX('Cadastro Mestre'!$Q$5:$Q$504,MATCH(C383,'Cadastro Mestre'!$A$5:$A$504,0)),""))</f>
        <v/>
      </c>
      <c r="F383" s="21"/>
      <c r="G383" s="21"/>
      <c r="H383" s="21"/>
      <c r="I383" s="21"/>
    </row>
    <row r="384" customFormat="false" ht="15" hidden="false" customHeight="false" outlineLevel="0" collapsed="false">
      <c r="A384" s="25"/>
      <c r="B384" s="21"/>
      <c r="C384" s="21"/>
      <c r="D384" s="26" t="str">
        <f aca="false">IF(C384="","",IFERROR(INDEX('Cadastro Mestre'!$C$5:$C$504,MATCH(C384,'Cadastro Mestre'!$A$5:$A$504,0)),"código não encontrado"))</f>
        <v/>
      </c>
      <c r="E384" s="24" t="str">
        <f aca="false">IF(C384="","",IFERROR(INDEX('Cadastro Mestre'!$Q$5:$Q$504,MATCH(C384,'Cadastro Mestre'!$A$5:$A$504,0)),""))</f>
        <v/>
      </c>
      <c r="F384" s="21"/>
      <c r="G384" s="21"/>
      <c r="H384" s="21"/>
      <c r="I384" s="21"/>
    </row>
    <row r="385" customFormat="false" ht="15" hidden="false" customHeight="false" outlineLevel="0" collapsed="false">
      <c r="A385" s="25"/>
      <c r="B385" s="21"/>
      <c r="C385" s="21"/>
      <c r="D385" s="26" t="str">
        <f aca="false">IF(C385="","",IFERROR(INDEX('Cadastro Mestre'!$C$5:$C$504,MATCH(C385,'Cadastro Mestre'!$A$5:$A$504,0)),"código não encontrado"))</f>
        <v/>
      </c>
      <c r="E385" s="24" t="str">
        <f aca="false">IF(C385="","",IFERROR(INDEX('Cadastro Mestre'!$Q$5:$Q$504,MATCH(C385,'Cadastro Mestre'!$A$5:$A$504,0)),""))</f>
        <v/>
      </c>
      <c r="F385" s="21"/>
      <c r="G385" s="21"/>
      <c r="H385" s="21"/>
      <c r="I385" s="21"/>
    </row>
    <row r="386" customFormat="false" ht="15" hidden="false" customHeight="false" outlineLevel="0" collapsed="false">
      <c r="A386" s="25"/>
      <c r="B386" s="21"/>
      <c r="C386" s="21"/>
      <c r="D386" s="26" t="str">
        <f aca="false">IF(C386="","",IFERROR(INDEX('Cadastro Mestre'!$C$5:$C$504,MATCH(C386,'Cadastro Mestre'!$A$5:$A$504,0)),"código não encontrado"))</f>
        <v/>
      </c>
      <c r="E386" s="24" t="str">
        <f aca="false">IF(C386="","",IFERROR(INDEX('Cadastro Mestre'!$Q$5:$Q$504,MATCH(C386,'Cadastro Mestre'!$A$5:$A$504,0)),""))</f>
        <v/>
      </c>
      <c r="F386" s="21"/>
      <c r="G386" s="21"/>
      <c r="H386" s="21"/>
      <c r="I386" s="21"/>
    </row>
    <row r="387" customFormat="false" ht="15" hidden="false" customHeight="false" outlineLevel="0" collapsed="false">
      <c r="A387" s="25"/>
      <c r="B387" s="21"/>
      <c r="C387" s="21"/>
      <c r="D387" s="26" t="str">
        <f aca="false">IF(C387="","",IFERROR(INDEX('Cadastro Mestre'!$C$5:$C$504,MATCH(C387,'Cadastro Mestre'!$A$5:$A$504,0)),"código não encontrado"))</f>
        <v/>
      </c>
      <c r="E387" s="24" t="str">
        <f aca="false">IF(C387="","",IFERROR(INDEX('Cadastro Mestre'!$Q$5:$Q$504,MATCH(C387,'Cadastro Mestre'!$A$5:$A$504,0)),""))</f>
        <v/>
      </c>
      <c r="F387" s="21"/>
      <c r="G387" s="21"/>
      <c r="H387" s="21"/>
      <c r="I387" s="21"/>
    </row>
    <row r="388" customFormat="false" ht="15" hidden="false" customHeight="false" outlineLevel="0" collapsed="false">
      <c r="A388" s="25"/>
      <c r="B388" s="21"/>
      <c r="C388" s="21"/>
      <c r="D388" s="26" t="str">
        <f aca="false">IF(C388="","",IFERROR(INDEX('Cadastro Mestre'!$C$5:$C$504,MATCH(C388,'Cadastro Mestre'!$A$5:$A$504,0)),"código não encontrado"))</f>
        <v/>
      </c>
      <c r="E388" s="24" t="str">
        <f aca="false">IF(C388="","",IFERROR(INDEX('Cadastro Mestre'!$Q$5:$Q$504,MATCH(C388,'Cadastro Mestre'!$A$5:$A$504,0)),""))</f>
        <v/>
      </c>
      <c r="F388" s="21"/>
      <c r="G388" s="21"/>
      <c r="H388" s="21"/>
      <c r="I388" s="21"/>
    </row>
    <row r="389" customFormat="false" ht="15" hidden="false" customHeight="false" outlineLevel="0" collapsed="false">
      <c r="A389" s="25"/>
      <c r="B389" s="21"/>
      <c r="C389" s="21"/>
      <c r="D389" s="26" t="str">
        <f aca="false">IF(C389="","",IFERROR(INDEX('Cadastro Mestre'!$C$5:$C$504,MATCH(C389,'Cadastro Mestre'!$A$5:$A$504,0)),"código não encontrado"))</f>
        <v/>
      </c>
      <c r="E389" s="24" t="str">
        <f aca="false">IF(C389="","",IFERROR(INDEX('Cadastro Mestre'!$Q$5:$Q$504,MATCH(C389,'Cadastro Mestre'!$A$5:$A$504,0)),""))</f>
        <v/>
      </c>
      <c r="F389" s="21"/>
      <c r="G389" s="21"/>
      <c r="H389" s="21"/>
      <c r="I389" s="21"/>
    </row>
    <row r="390" customFormat="false" ht="15" hidden="false" customHeight="false" outlineLevel="0" collapsed="false">
      <c r="A390" s="25"/>
      <c r="B390" s="21"/>
      <c r="C390" s="21"/>
      <c r="D390" s="26" t="str">
        <f aca="false">IF(C390="","",IFERROR(INDEX('Cadastro Mestre'!$C$5:$C$504,MATCH(C390,'Cadastro Mestre'!$A$5:$A$504,0)),"código não encontrado"))</f>
        <v/>
      </c>
      <c r="E390" s="24" t="str">
        <f aca="false">IF(C390="","",IFERROR(INDEX('Cadastro Mestre'!$Q$5:$Q$504,MATCH(C390,'Cadastro Mestre'!$A$5:$A$504,0)),""))</f>
        <v/>
      </c>
      <c r="F390" s="21"/>
      <c r="G390" s="21"/>
      <c r="H390" s="21"/>
      <c r="I390" s="21"/>
    </row>
    <row r="391" customFormat="false" ht="15" hidden="false" customHeight="false" outlineLevel="0" collapsed="false">
      <c r="A391" s="25"/>
      <c r="B391" s="21"/>
      <c r="C391" s="21"/>
      <c r="D391" s="26" t="str">
        <f aca="false">IF(C391="","",IFERROR(INDEX('Cadastro Mestre'!$C$5:$C$504,MATCH(C391,'Cadastro Mestre'!$A$5:$A$504,0)),"código não encontrado"))</f>
        <v/>
      </c>
      <c r="E391" s="24" t="str">
        <f aca="false">IF(C391="","",IFERROR(INDEX('Cadastro Mestre'!$Q$5:$Q$504,MATCH(C391,'Cadastro Mestre'!$A$5:$A$504,0)),""))</f>
        <v/>
      </c>
      <c r="F391" s="21"/>
      <c r="G391" s="21"/>
      <c r="H391" s="21"/>
      <c r="I391" s="21"/>
    </row>
    <row r="392" customFormat="false" ht="15" hidden="false" customHeight="false" outlineLevel="0" collapsed="false">
      <c r="A392" s="25"/>
      <c r="B392" s="21"/>
      <c r="C392" s="21"/>
      <c r="D392" s="26" t="str">
        <f aca="false">IF(C392="","",IFERROR(INDEX('Cadastro Mestre'!$C$5:$C$504,MATCH(C392,'Cadastro Mestre'!$A$5:$A$504,0)),"código não encontrado"))</f>
        <v/>
      </c>
      <c r="E392" s="24" t="str">
        <f aca="false">IF(C392="","",IFERROR(INDEX('Cadastro Mestre'!$Q$5:$Q$504,MATCH(C392,'Cadastro Mestre'!$A$5:$A$504,0)),""))</f>
        <v/>
      </c>
      <c r="F392" s="21"/>
      <c r="G392" s="21"/>
      <c r="H392" s="21"/>
      <c r="I392" s="21"/>
    </row>
    <row r="393" customFormat="false" ht="15" hidden="false" customHeight="false" outlineLevel="0" collapsed="false">
      <c r="A393" s="25"/>
      <c r="B393" s="21"/>
      <c r="C393" s="21"/>
      <c r="D393" s="26" t="str">
        <f aca="false">IF(C393="","",IFERROR(INDEX('Cadastro Mestre'!$C$5:$C$504,MATCH(C393,'Cadastro Mestre'!$A$5:$A$504,0)),"código não encontrado"))</f>
        <v/>
      </c>
      <c r="E393" s="24" t="str">
        <f aca="false">IF(C393="","",IFERROR(INDEX('Cadastro Mestre'!$Q$5:$Q$504,MATCH(C393,'Cadastro Mestre'!$A$5:$A$504,0)),""))</f>
        <v/>
      </c>
      <c r="F393" s="21"/>
      <c r="G393" s="21"/>
      <c r="H393" s="21"/>
      <c r="I393" s="21"/>
    </row>
    <row r="394" customFormat="false" ht="15" hidden="false" customHeight="false" outlineLevel="0" collapsed="false">
      <c r="A394" s="25"/>
      <c r="B394" s="21"/>
      <c r="C394" s="21"/>
      <c r="D394" s="26" t="str">
        <f aca="false">IF(C394="","",IFERROR(INDEX('Cadastro Mestre'!$C$5:$C$504,MATCH(C394,'Cadastro Mestre'!$A$5:$A$504,0)),"código não encontrado"))</f>
        <v/>
      </c>
      <c r="E394" s="24" t="str">
        <f aca="false">IF(C394="","",IFERROR(INDEX('Cadastro Mestre'!$Q$5:$Q$504,MATCH(C394,'Cadastro Mestre'!$A$5:$A$504,0)),""))</f>
        <v/>
      </c>
      <c r="F394" s="21"/>
      <c r="G394" s="21"/>
      <c r="H394" s="21"/>
      <c r="I394" s="21"/>
    </row>
    <row r="395" customFormat="false" ht="15" hidden="false" customHeight="false" outlineLevel="0" collapsed="false">
      <c r="A395" s="25"/>
      <c r="B395" s="21"/>
      <c r="C395" s="21"/>
      <c r="D395" s="26" t="str">
        <f aca="false">IF(C395="","",IFERROR(INDEX('Cadastro Mestre'!$C$5:$C$504,MATCH(C395,'Cadastro Mestre'!$A$5:$A$504,0)),"código não encontrado"))</f>
        <v/>
      </c>
      <c r="E395" s="24" t="str">
        <f aca="false">IF(C395="","",IFERROR(INDEX('Cadastro Mestre'!$Q$5:$Q$504,MATCH(C395,'Cadastro Mestre'!$A$5:$A$504,0)),""))</f>
        <v/>
      </c>
      <c r="F395" s="21"/>
      <c r="G395" s="21"/>
      <c r="H395" s="21"/>
      <c r="I395" s="21"/>
    </row>
    <row r="396" customFormat="false" ht="15" hidden="false" customHeight="false" outlineLevel="0" collapsed="false">
      <c r="A396" s="25"/>
      <c r="B396" s="21"/>
      <c r="C396" s="21"/>
      <c r="D396" s="26" t="str">
        <f aca="false">IF(C396="","",IFERROR(INDEX('Cadastro Mestre'!$C$5:$C$504,MATCH(C396,'Cadastro Mestre'!$A$5:$A$504,0)),"código não encontrado"))</f>
        <v/>
      </c>
      <c r="E396" s="24" t="str">
        <f aca="false">IF(C396="","",IFERROR(INDEX('Cadastro Mestre'!$Q$5:$Q$504,MATCH(C396,'Cadastro Mestre'!$A$5:$A$504,0)),""))</f>
        <v/>
      </c>
      <c r="F396" s="21"/>
      <c r="G396" s="21"/>
      <c r="H396" s="21"/>
      <c r="I396" s="21"/>
    </row>
    <row r="397" customFormat="false" ht="15" hidden="false" customHeight="false" outlineLevel="0" collapsed="false">
      <c r="A397" s="25"/>
      <c r="B397" s="21"/>
      <c r="C397" s="21"/>
      <c r="D397" s="26" t="str">
        <f aca="false">IF(C397="","",IFERROR(INDEX('Cadastro Mestre'!$C$5:$C$504,MATCH(C397,'Cadastro Mestre'!$A$5:$A$504,0)),"código não encontrado"))</f>
        <v/>
      </c>
      <c r="E397" s="24" t="str">
        <f aca="false">IF(C397="","",IFERROR(INDEX('Cadastro Mestre'!$Q$5:$Q$504,MATCH(C397,'Cadastro Mestre'!$A$5:$A$504,0)),""))</f>
        <v/>
      </c>
      <c r="F397" s="21"/>
      <c r="G397" s="21"/>
      <c r="H397" s="21"/>
      <c r="I397" s="21"/>
    </row>
    <row r="398" customFormat="false" ht="15" hidden="false" customHeight="false" outlineLevel="0" collapsed="false">
      <c r="A398" s="25"/>
      <c r="B398" s="21"/>
      <c r="C398" s="21"/>
      <c r="D398" s="26" t="str">
        <f aca="false">IF(C398="","",IFERROR(INDEX('Cadastro Mestre'!$C$5:$C$504,MATCH(C398,'Cadastro Mestre'!$A$5:$A$504,0)),"código não encontrado"))</f>
        <v/>
      </c>
      <c r="E398" s="24" t="str">
        <f aca="false">IF(C398="","",IFERROR(INDEX('Cadastro Mestre'!$Q$5:$Q$504,MATCH(C398,'Cadastro Mestre'!$A$5:$A$504,0)),""))</f>
        <v/>
      </c>
      <c r="F398" s="21"/>
      <c r="G398" s="21"/>
      <c r="H398" s="21"/>
      <c r="I398" s="21"/>
    </row>
    <row r="399" customFormat="false" ht="15" hidden="false" customHeight="false" outlineLevel="0" collapsed="false">
      <c r="A399" s="25"/>
      <c r="B399" s="21"/>
      <c r="C399" s="21"/>
      <c r="D399" s="26" t="str">
        <f aca="false">IF(C399="","",IFERROR(INDEX('Cadastro Mestre'!$C$5:$C$504,MATCH(C399,'Cadastro Mestre'!$A$5:$A$504,0)),"código não encontrado"))</f>
        <v/>
      </c>
      <c r="E399" s="24" t="str">
        <f aca="false">IF(C399="","",IFERROR(INDEX('Cadastro Mestre'!$Q$5:$Q$504,MATCH(C399,'Cadastro Mestre'!$A$5:$A$504,0)),""))</f>
        <v/>
      </c>
      <c r="F399" s="21"/>
      <c r="G399" s="21"/>
      <c r="H399" s="21"/>
      <c r="I399" s="21"/>
    </row>
    <row r="400" customFormat="false" ht="15" hidden="false" customHeight="false" outlineLevel="0" collapsed="false">
      <c r="A400" s="25"/>
      <c r="B400" s="21"/>
      <c r="C400" s="21"/>
      <c r="D400" s="26" t="str">
        <f aca="false">IF(C400="","",IFERROR(INDEX('Cadastro Mestre'!$C$5:$C$504,MATCH(C400,'Cadastro Mestre'!$A$5:$A$504,0)),"código não encontrado"))</f>
        <v/>
      </c>
      <c r="E400" s="24" t="str">
        <f aca="false">IF(C400="","",IFERROR(INDEX('Cadastro Mestre'!$Q$5:$Q$504,MATCH(C400,'Cadastro Mestre'!$A$5:$A$504,0)),""))</f>
        <v/>
      </c>
      <c r="F400" s="21"/>
      <c r="G400" s="21"/>
      <c r="H400" s="21"/>
      <c r="I400" s="21"/>
    </row>
    <row r="401" customFormat="false" ht="15" hidden="false" customHeight="false" outlineLevel="0" collapsed="false">
      <c r="A401" s="25"/>
      <c r="B401" s="21"/>
      <c r="C401" s="21"/>
      <c r="D401" s="26" t="str">
        <f aca="false">IF(C401="","",IFERROR(INDEX('Cadastro Mestre'!$C$5:$C$504,MATCH(C401,'Cadastro Mestre'!$A$5:$A$504,0)),"código não encontrado"))</f>
        <v/>
      </c>
      <c r="E401" s="24" t="str">
        <f aca="false">IF(C401="","",IFERROR(INDEX('Cadastro Mestre'!$Q$5:$Q$504,MATCH(C401,'Cadastro Mestre'!$A$5:$A$504,0)),""))</f>
        <v/>
      </c>
      <c r="F401" s="21"/>
      <c r="G401" s="21"/>
      <c r="H401" s="21"/>
      <c r="I401" s="21"/>
    </row>
    <row r="402" customFormat="false" ht="15" hidden="false" customHeight="false" outlineLevel="0" collapsed="false">
      <c r="A402" s="25"/>
      <c r="B402" s="21"/>
      <c r="C402" s="21"/>
      <c r="D402" s="26" t="str">
        <f aca="false">IF(C402="","",IFERROR(INDEX('Cadastro Mestre'!$C$5:$C$504,MATCH(C402,'Cadastro Mestre'!$A$5:$A$504,0)),"código não encontrado"))</f>
        <v/>
      </c>
      <c r="E402" s="24" t="str">
        <f aca="false">IF(C402="","",IFERROR(INDEX('Cadastro Mestre'!$Q$5:$Q$504,MATCH(C402,'Cadastro Mestre'!$A$5:$A$504,0)),""))</f>
        <v/>
      </c>
      <c r="F402" s="21"/>
      <c r="G402" s="21"/>
      <c r="H402" s="21"/>
      <c r="I402" s="21"/>
    </row>
    <row r="403" customFormat="false" ht="15" hidden="false" customHeight="false" outlineLevel="0" collapsed="false">
      <c r="A403" s="25"/>
      <c r="B403" s="21"/>
      <c r="C403" s="21"/>
      <c r="D403" s="26" t="str">
        <f aca="false">IF(C403="","",IFERROR(INDEX('Cadastro Mestre'!$C$5:$C$504,MATCH(C403,'Cadastro Mestre'!$A$5:$A$504,0)),"código não encontrado"))</f>
        <v/>
      </c>
      <c r="E403" s="24" t="str">
        <f aca="false">IF(C403="","",IFERROR(INDEX('Cadastro Mestre'!$Q$5:$Q$504,MATCH(C403,'Cadastro Mestre'!$A$5:$A$504,0)),""))</f>
        <v/>
      </c>
      <c r="F403" s="21"/>
      <c r="G403" s="21"/>
      <c r="H403" s="21"/>
      <c r="I403" s="21"/>
    </row>
    <row r="404" customFormat="false" ht="15" hidden="false" customHeight="false" outlineLevel="0" collapsed="false">
      <c r="A404" s="25"/>
      <c r="B404" s="21"/>
      <c r="C404" s="21"/>
      <c r="D404" s="26" t="str">
        <f aca="false">IF(C404="","",IFERROR(INDEX('Cadastro Mestre'!$C$5:$C$504,MATCH(C404,'Cadastro Mestre'!$A$5:$A$504,0)),"código não encontrado"))</f>
        <v/>
      </c>
      <c r="E404" s="24" t="str">
        <f aca="false">IF(C404="","",IFERROR(INDEX('Cadastro Mestre'!$Q$5:$Q$504,MATCH(C404,'Cadastro Mestre'!$A$5:$A$504,0)),""))</f>
        <v/>
      </c>
      <c r="F404" s="21"/>
      <c r="G404" s="21"/>
      <c r="H404" s="21"/>
      <c r="I404" s="21"/>
    </row>
    <row r="405" customFormat="false" ht="15" hidden="false" customHeight="false" outlineLevel="0" collapsed="false">
      <c r="A405" s="25"/>
      <c r="B405" s="21"/>
      <c r="C405" s="21"/>
      <c r="D405" s="26" t="str">
        <f aca="false">IF(C405="","",IFERROR(INDEX('Cadastro Mestre'!$C$5:$C$504,MATCH(C405,'Cadastro Mestre'!$A$5:$A$504,0)),"código não encontrado"))</f>
        <v/>
      </c>
      <c r="E405" s="24" t="str">
        <f aca="false">IF(C405="","",IFERROR(INDEX('Cadastro Mestre'!$Q$5:$Q$504,MATCH(C405,'Cadastro Mestre'!$A$5:$A$504,0)),""))</f>
        <v/>
      </c>
      <c r="F405" s="21"/>
      <c r="G405" s="21"/>
      <c r="H405" s="21"/>
      <c r="I405" s="21"/>
    </row>
    <row r="406" customFormat="false" ht="15" hidden="false" customHeight="false" outlineLevel="0" collapsed="false">
      <c r="A406" s="25"/>
      <c r="B406" s="21"/>
      <c r="C406" s="21"/>
      <c r="D406" s="26" t="str">
        <f aca="false">IF(C406="","",IFERROR(INDEX('Cadastro Mestre'!$C$5:$C$504,MATCH(C406,'Cadastro Mestre'!$A$5:$A$504,0)),"código não encontrado"))</f>
        <v/>
      </c>
      <c r="E406" s="24" t="str">
        <f aca="false">IF(C406="","",IFERROR(INDEX('Cadastro Mestre'!$Q$5:$Q$504,MATCH(C406,'Cadastro Mestre'!$A$5:$A$504,0)),""))</f>
        <v/>
      </c>
      <c r="F406" s="21"/>
      <c r="G406" s="21"/>
      <c r="H406" s="21"/>
      <c r="I406" s="21"/>
    </row>
    <row r="407" customFormat="false" ht="15" hidden="false" customHeight="false" outlineLevel="0" collapsed="false">
      <c r="A407" s="25"/>
      <c r="B407" s="21"/>
      <c r="C407" s="21"/>
      <c r="D407" s="26" t="str">
        <f aca="false">IF(C407="","",IFERROR(INDEX('Cadastro Mestre'!$C$5:$C$504,MATCH(C407,'Cadastro Mestre'!$A$5:$A$504,0)),"código não encontrado"))</f>
        <v/>
      </c>
      <c r="E407" s="24" t="str">
        <f aca="false">IF(C407="","",IFERROR(INDEX('Cadastro Mestre'!$Q$5:$Q$504,MATCH(C407,'Cadastro Mestre'!$A$5:$A$504,0)),""))</f>
        <v/>
      </c>
      <c r="F407" s="21"/>
      <c r="G407" s="21"/>
      <c r="H407" s="21"/>
      <c r="I407" s="21"/>
    </row>
    <row r="408" customFormat="false" ht="15" hidden="false" customHeight="false" outlineLevel="0" collapsed="false">
      <c r="A408" s="25"/>
      <c r="B408" s="21"/>
      <c r="C408" s="21"/>
      <c r="D408" s="26" t="str">
        <f aca="false">IF(C408="","",IFERROR(INDEX('Cadastro Mestre'!$C$5:$C$504,MATCH(C408,'Cadastro Mestre'!$A$5:$A$504,0)),"código não encontrado"))</f>
        <v/>
      </c>
      <c r="E408" s="24" t="str">
        <f aca="false">IF(C408="","",IFERROR(INDEX('Cadastro Mestre'!$Q$5:$Q$504,MATCH(C408,'Cadastro Mestre'!$A$5:$A$504,0)),""))</f>
        <v/>
      </c>
      <c r="F408" s="21"/>
      <c r="G408" s="21"/>
      <c r="H408" s="21"/>
      <c r="I408" s="21"/>
    </row>
    <row r="409" customFormat="false" ht="15" hidden="false" customHeight="false" outlineLevel="0" collapsed="false">
      <c r="A409" s="25"/>
      <c r="B409" s="21"/>
      <c r="C409" s="21"/>
      <c r="D409" s="26" t="str">
        <f aca="false">IF(C409="","",IFERROR(INDEX('Cadastro Mestre'!$C$5:$C$504,MATCH(C409,'Cadastro Mestre'!$A$5:$A$504,0)),"código não encontrado"))</f>
        <v/>
      </c>
      <c r="E409" s="24" t="str">
        <f aca="false">IF(C409="","",IFERROR(INDEX('Cadastro Mestre'!$Q$5:$Q$504,MATCH(C409,'Cadastro Mestre'!$A$5:$A$504,0)),""))</f>
        <v/>
      </c>
      <c r="F409" s="21"/>
      <c r="G409" s="21"/>
      <c r="H409" s="21"/>
      <c r="I409" s="21"/>
    </row>
    <row r="410" customFormat="false" ht="15" hidden="false" customHeight="false" outlineLevel="0" collapsed="false">
      <c r="A410" s="25"/>
      <c r="B410" s="21"/>
      <c r="C410" s="21"/>
      <c r="D410" s="26" t="str">
        <f aca="false">IF(C410="","",IFERROR(INDEX('Cadastro Mestre'!$C$5:$C$504,MATCH(C410,'Cadastro Mestre'!$A$5:$A$504,0)),"código não encontrado"))</f>
        <v/>
      </c>
      <c r="E410" s="24" t="str">
        <f aca="false">IF(C410="","",IFERROR(INDEX('Cadastro Mestre'!$Q$5:$Q$504,MATCH(C410,'Cadastro Mestre'!$A$5:$A$504,0)),""))</f>
        <v/>
      </c>
      <c r="F410" s="21"/>
      <c r="G410" s="21"/>
      <c r="H410" s="21"/>
      <c r="I410" s="21"/>
    </row>
    <row r="411" customFormat="false" ht="15" hidden="false" customHeight="false" outlineLevel="0" collapsed="false">
      <c r="A411" s="25"/>
      <c r="B411" s="21"/>
      <c r="C411" s="21"/>
      <c r="D411" s="26" t="str">
        <f aca="false">IF(C411="","",IFERROR(INDEX('Cadastro Mestre'!$C$5:$C$504,MATCH(C411,'Cadastro Mestre'!$A$5:$A$504,0)),"código não encontrado"))</f>
        <v/>
      </c>
      <c r="E411" s="24" t="str">
        <f aca="false">IF(C411="","",IFERROR(INDEX('Cadastro Mestre'!$Q$5:$Q$504,MATCH(C411,'Cadastro Mestre'!$A$5:$A$504,0)),""))</f>
        <v/>
      </c>
      <c r="F411" s="21"/>
      <c r="G411" s="21"/>
      <c r="H411" s="21"/>
      <c r="I411" s="21"/>
    </row>
    <row r="412" customFormat="false" ht="15" hidden="false" customHeight="false" outlineLevel="0" collapsed="false">
      <c r="A412" s="25"/>
      <c r="B412" s="21"/>
      <c r="C412" s="21"/>
      <c r="D412" s="26" t="str">
        <f aca="false">IF(C412="","",IFERROR(INDEX('Cadastro Mestre'!$C$5:$C$504,MATCH(C412,'Cadastro Mestre'!$A$5:$A$504,0)),"código não encontrado"))</f>
        <v/>
      </c>
      <c r="E412" s="24" t="str">
        <f aca="false">IF(C412="","",IFERROR(INDEX('Cadastro Mestre'!$Q$5:$Q$504,MATCH(C412,'Cadastro Mestre'!$A$5:$A$504,0)),""))</f>
        <v/>
      </c>
      <c r="F412" s="21"/>
      <c r="G412" s="21"/>
      <c r="H412" s="21"/>
      <c r="I412" s="21"/>
    </row>
    <row r="413" customFormat="false" ht="15" hidden="false" customHeight="false" outlineLevel="0" collapsed="false">
      <c r="A413" s="25"/>
      <c r="B413" s="21"/>
      <c r="C413" s="21"/>
      <c r="D413" s="26" t="str">
        <f aca="false">IF(C413="","",IFERROR(INDEX('Cadastro Mestre'!$C$5:$C$504,MATCH(C413,'Cadastro Mestre'!$A$5:$A$504,0)),"código não encontrado"))</f>
        <v/>
      </c>
      <c r="E413" s="24" t="str">
        <f aca="false">IF(C413="","",IFERROR(INDEX('Cadastro Mestre'!$Q$5:$Q$504,MATCH(C413,'Cadastro Mestre'!$A$5:$A$504,0)),""))</f>
        <v/>
      </c>
      <c r="F413" s="21"/>
      <c r="G413" s="21"/>
      <c r="H413" s="21"/>
      <c r="I413" s="21"/>
    </row>
    <row r="414" customFormat="false" ht="15" hidden="false" customHeight="false" outlineLevel="0" collapsed="false">
      <c r="A414" s="25"/>
      <c r="B414" s="21"/>
      <c r="C414" s="21"/>
      <c r="D414" s="26" t="str">
        <f aca="false">IF(C414="","",IFERROR(INDEX('Cadastro Mestre'!$C$5:$C$504,MATCH(C414,'Cadastro Mestre'!$A$5:$A$504,0)),"código não encontrado"))</f>
        <v/>
      </c>
      <c r="E414" s="24" t="str">
        <f aca="false">IF(C414="","",IFERROR(INDEX('Cadastro Mestre'!$Q$5:$Q$504,MATCH(C414,'Cadastro Mestre'!$A$5:$A$504,0)),""))</f>
        <v/>
      </c>
      <c r="F414" s="21"/>
      <c r="G414" s="21"/>
      <c r="H414" s="21"/>
      <c r="I414" s="21"/>
    </row>
    <row r="415" customFormat="false" ht="15" hidden="false" customHeight="false" outlineLevel="0" collapsed="false">
      <c r="A415" s="25"/>
      <c r="B415" s="21"/>
      <c r="C415" s="21"/>
      <c r="D415" s="26" t="str">
        <f aca="false">IF(C415="","",IFERROR(INDEX('Cadastro Mestre'!$C$5:$C$504,MATCH(C415,'Cadastro Mestre'!$A$5:$A$504,0)),"código não encontrado"))</f>
        <v/>
      </c>
      <c r="E415" s="24" t="str">
        <f aca="false">IF(C415="","",IFERROR(INDEX('Cadastro Mestre'!$Q$5:$Q$504,MATCH(C415,'Cadastro Mestre'!$A$5:$A$504,0)),""))</f>
        <v/>
      </c>
      <c r="F415" s="21"/>
      <c r="G415" s="21"/>
      <c r="H415" s="21"/>
      <c r="I415" s="21"/>
    </row>
    <row r="416" customFormat="false" ht="15" hidden="false" customHeight="false" outlineLevel="0" collapsed="false">
      <c r="A416" s="25"/>
      <c r="B416" s="21"/>
      <c r="C416" s="21"/>
      <c r="D416" s="26" t="str">
        <f aca="false">IF(C416="","",IFERROR(INDEX('Cadastro Mestre'!$C$5:$C$504,MATCH(C416,'Cadastro Mestre'!$A$5:$A$504,0)),"código não encontrado"))</f>
        <v/>
      </c>
      <c r="E416" s="24" t="str">
        <f aca="false">IF(C416="","",IFERROR(INDEX('Cadastro Mestre'!$Q$5:$Q$504,MATCH(C416,'Cadastro Mestre'!$A$5:$A$504,0)),""))</f>
        <v/>
      </c>
      <c r="F416" s="21"/>
      <c r="G416" s="21"/>
      <c r="H416" s="21"/>
      <c r="I416" s="21"/>
    </row>
    <row r="417" customFormat="false" ht="15" hidden="false" customHeight="false" outlineLevel="0" collapsed="false">
      <c r="A417" s="25"/>
      <c r="B417" s="21"/>
      <c r="C417" s="21"/>
      <c r="D417" s="26" t="str">
        <f aca="false">IF(C417="","",IFERROR(INDEX('Cadastro Mestre'!$C$5:$C$504,MATCH(C417,'Cadastro Mestre'!$A$5:$A$504,0)),"código não encontrado"))</f>
        <v/>
      </c>
      <c r="E417" s="24" t="str">
        <f aca="false">IF(C417="","",IFERROR(INDEX('Cadastro Mestre'!$Q$5:$Q$504,MATCH(C417,'Cadastro Mestre'!$A$5:$A$504,0)),""))</f>
        <v/>
      </c>
      <c r="F417" s="21"/>
      <c r="G417" s="21"/>
      <c r="H417" s="21"/>
      <c r="I417" s="21"/>
    </row>
    <row r="418" customFormat="false" ht="15" hidden="false" customHeight="false" outlineLevel="0" collapsed="false">
      <c r="A418" s="25"/>
      <c r="B418" s="21"/>
      <c r="C418" s="21"/>
      <c r="D418" s="26" t="str">
        <f aca="false">IF(C418="","",IFERROR(INDEX('Cadastro Mestre'!$C$5:$C$504,MATCH(C418,'Cadastro Mestre'!$A$5:$A$504,0)),"código não encontrado"))</f>
        <v/>
      </c>
      <c r="E418" s="24" t="str">
        <f aca="false">IF(C418="","",IFERROR(INDEX('Cadastro Mestre'!$Q$5:$Q$504,MATCH(C418,'Cadastro Mestre'!$A$5:$A$504,0)),""))</f>
        <v/>
      </c>
      <c r="F418" s="21"/>
      <c r="G418" s="21"/>
      <c r="H418" s="21"/>
      <c r="I418" s="21"/>
    </row>
    <row r="419" customFormat="false" ht="15" hidden="false" customHeight="false" outlineLevel="0" collapsed="false">
      <c r="A419" s="25"/>
      <c r="B419" s="21"/>
      <c r="C419" s="21"/>
      <c r="D419" s="26" t="str">
        <f aca="false">IF(C419="","",IFERROR(INDEX('Cadastro Mestre'!$C$5:$C$504,MATCH(C419,'Cadastro Mestre'!$A$5:$A$504,0)),"código não encontrado"))</f>
        <v/>
      </c>
      <c r="E419" s="24" t="str">
        <f aca="false">IF(C419="","",IFERROR(INDEX('Cadastro Mestre'!$Q$5:$Q$504,MATCH(C419,'Cadastro Mestre'!$A$5:$A$504,0)),""))</f>
        <v/>
      </c>
      <c r="F419" s="21"/>
      <c r="G419" s="21"/>
      <c r="H419" s="21"/>
      <c r="I419" s="21"/>
    </row>
    <row r="420" customFormat="false" ht="15" hidden="false" customHeight="false" outlineLevel="0" collapsed="false">
      <c r="A420" s="25"/>
      <c r="B420" s="21"/>
      <c r="C420" s="21"/>
      <c r="D420" s="26" t="str">
        <f aca="false">IF(C420="","",IFERROR(INDEX('Cadastro Mestre'!$C$5:$C$504,MATCH(C420,'Cadastro Mestre'!$A$5:$A$504,0)),"código não encontrado"))</f>
        <v/>
      </c>
      <c r="E420" s="24" t="str">
        <f aca="false">IF(C420="","",IFERROR(INDEX('Cadastro Mestre'!$Q$5:$Q$504,MATCH(C420,'Cadastro Mestre'!$A$5:$A$504,0)),""))</f>
        <v/>
      </c>
      <c r="F420" s="21"/>
      <c r="G420" s="21"/>
      <c r="H420" s="21"/>
      <c r="I420" s="21"/>
    </row>
    <row r="421" customFormat="false" ht="15" hidden="false" customHeight="false" outlineLevel="0" collapsed="false">
      <c r="A421" s="25"/>
      <c r="B421" s="21"/>
      <c r="C421" s="21"/>
      <c r="D421" s="26" t="str">
        <f aca="false">IF(C421="","",IFERROR(INDEX('Cadastro Mestre'!$C$5:$C$504,MATCH(C421,'Cadastro Mestre'!$A$5:$A$504,0)),"código não encontrado"))</f>
        <v/>
      </c>
      <c r="E421" s="24" t="str">
        <f aca="false">IF(C421="","",IFERROR(INDEX('Cadastro Mestre'!$Q$5:$Q$504,MATCH(C421,'Cadastro Mestre'!$A$5:$A$504,0)),""))</f>
        <v/>
      </c>
      <c r="F421" s="21"/>
      <c r="G421" s="21"/>
      <c r="H421" s="21"/>
      <c r="I421" s="21"/>
    </row>
    <row r="422" customFormat="false" ht="15" hidden="false" customHeight="false" outlineLevel="0" collapsed="false">
      <c r="A422" s="25"/>
      <c r="B422" s="21"/>
      <c r="C422" s="21"/>
      <c r="D422" s="26" t="str">
        <f aca="false">IF(C422="","",IFERROR(INDEX('Cadastro Mestre'!$C$5:$C$504,MATCH(C422,'Cadastro Mestre'!$A$5:$A$504,0)),"código não encontrado"))</f>
        <v/>
      </c>
      <c r="E422" s="24" t="str">
        <f aca="false">IF(C422="","",IFERROR(INDEX('Cadastro Mestre'!$Q$5:$Q$504,MATCH(C422,'Cadastro Mestre'!$A$5:$A$504,0)),""))</f>
        <v/>
      </c>
      <c r="F422" s="21"/>
      <c r="G422" s="21"/>
      <c r="H422" s="21"/>
      <c r="I422" s="21"/>
    </row>
    <row r="423" customFormat="false" ht="15" hidden="false" customHeight="false" outlineLevel="0" collapsed="false">
      <c r="A423" s="25"/>
      <c r="B423" s="21"/>
      <c r="C423" s="21"/>
      <c r="D423" s="26" t="str">
        <f aca="false">IF(C423="","",IFERROR(INDEX('Cadastro Mestre'!$C$5:$C$504,MATCH(C423,'Cadastro Mestre'!$A$5:$A$504,0)),"código não encontrado"))</f>
        <v/>
      </c>
      <c r="E423" s="24" t="str">
        <f aca="false">IF(C423="","",IFERROR(INDEX('Cadastro Mestre'!$Q$5:$Q$504,MATCH(C423,'Cadastro Mestre'!$A$5:$A$504,0)),""))</f>
        <v/>
      </c>
      <c r="F423" s="21"/>
      <c r="G423" s="21"/>
      <c r="H423" s="21"/>
      <c r="I423" s="21"/>
    </row>
    <row r="424" customFormat="false" ht="15" hidden="false" customHeight="false" outlineLevel="0" collapsed="false">
      <c r="A424" s="25"/>
      <c r="B424" s="21"/>
      <c r="C424" s="21"/>
      <c r="D424" s="26" t="str">
        <f aca="false">IF(C424="","",IFERROR(INDEX('Cadastro Mestre'!$C$5:$C$504,MATCH(C424,'Cadastro Mestre'!$A$5:$A$504,0)),"código não encontrado"))</f>
        <v/>
      </c>
      <c r="E424" s="24" t="str">
        <f aca="false">IF(C424="","",IFERROR(INDEX('Cadastro Mestre'!$Q$5:$Q$504,MATCH(C424,'Cadastro Mestre'!$A$5:$A$504,0)),""))</f>
        <v/>
      </c>
      <c r="F424" s="21"/>
      <c r="G424" s="21"/>
      <c r="H424" s="21"/>
      <c r="I424" s="21"/>
    </row>
    <row r="425" customFormat="false" ht="15" hidden="false" customHeight="false" outlineLevel="0" collapsed="false">
      <c r="A425" s="25"/>
      <c r="B425" s="21"/>
      <c r="C425" s="21"/>
      <c r="D425" s="26" t="str">
        <f aca="false">IF(C425="","",IFERROR(INDEX('Cadastro Mestre'!$C$5:$C$504,MATCH(C425,'Cadastro Mestre'!$A$5:$A$504,0)),"código não encontrado"))</f>
        <v/>
      </c>
      <c r="E425" s="24" t="str">
        <f aca="false">IF(C425="","",IFERROR(INDEX('Cadastro Mestre'!$Q$5:$Q$504,MATCH(C425,'Cadastro Mestre'!$A$5:$A$504,0)),""))</f>
        <v/>
      </c>
      <c r="F425" s="21"/>
      <c r="G425" s="21"/>
      <c r="H425" s="21"/>
      <c r="I425" s="21"/>
    </row>
    <row r="426" customFormat="false" ht="15" hidden="false" customHeight="false" outlineLevel="0" collapsed="false">
      <c r="A426" s="25"/>
      <c r="B426" s="21"/>
      <c r="C426" s="21"/>
      <c r="D426" s="26" t="str">
        <f aca="false">IF(C426="","",IFERROR(INDEX('Cadastro Mestre'!$C$5:$C$504,MATCH(C426,'Cadastro Mestre'!$A$5:$A$504,0)),"código não encontrado"))</f>
        <v/>
      </c>
      <c r="E426" s="24" t="str">
        <f aca="false">IF(C426="","",IFERROR(INDEX('Cadastro Mestre'!$Q$5:$Q$504,MATCH(C426,'Cadastro Mestre'!$A$5:$A$504,0)),""))</f>
        <v/>
      </c>
      <c r="F426" s="21"/>
      <c r="G426" s="21"/>
      <c r="H426" s="21"/>
      <c r="I426" s="21"/>
    </row>
    <row r="427" customFormat="false" ht="15" hidden="false" customHeight="false" outlineLevel="0" collapsed="false">
      <c r="A427" s="25"/>
      <c r="B427" s="21"/>
      <c r="C427" s="21"/>
      <c r="D427" s="26" t="str">
        <f aca="false">IF(C427="","",IFERROR(INDEX('Cadastro Mestre'!$C$5:$C$504,MATCH(C427,'Cadastro Mestre'!$A$5:$A$504,0)),"código não encontrado"))</f>
        <v/>
      </c>
      <c r="E427" s="24" t="str">
        <f aca="false">IF(C427="","",IFERROR(INDEX('Cadastro Mestre'!$Q$5:$Q$504,MATCH(C427,'Cadastro Mestre'!$A$5:$A$504,0)),""))</f>
        <v/>
      </c>
      <c r="F427" s="21"/>
      <c r="G427" s="21"/>
      <c r="H427" s="21"/>
      <c r="I427" s="21"/>
    </row>
    <row r="428" customFormat="false" ht="15" hidden="false" customHeight="false" outlineLevel="0" collapsed="false">
      <c r="A428" s="25"/>
      <c r="B428" s="21"/>
      <c r="C428" s="21"/>
      <c r="D428" s="26" t="str">
        <f aca="false">IF(C428="","",IFERROR(INDEX('Cadastro Mestre'!$C$5:$C$504,MATCH(C428,'Cadastro Mestre'!$A$5:$A$504,0)),"código não encontrado"))</f>
        <v/>
      </c>
      <c r="E428" s="24" t="str">
        <f aca="false">IF(C428="","",IFERROR(INDEX('Cadastro Mestre'!$Q$5:$Q$504,MATCH(C428,'Cadastro Mestre'!$A$5:$A$504,0)),""))</f>
        <v/>
      </c>
      <c r="F428" s="21"/>
      <c r="G428" s="21"/>
      <c r="H428" s="21"/>
      <c r="I428" s="21"/>
    </row>
    <row r="429" customFormat="false" ht="15" hidden="false" customHeight="false" outlineLevel="0" collapsed="false">
      <c r="A429" s="25"/>
      <c r="B429" s="21"/>
      <c r="C429" s="21"/>
      <c r="D429" s="26" t="str">
        <f aca="false">IF(C429="","",IFERROR(INDEX('Cadastro Mestre'!$C$5:$C$504,MATCH(C429,'Cadastro Mestre'!$A$5:$A$504,0)),"código não encontrado"))</f>
        <v/>
      </c>
      <c r="E429" s="24" t="str">
        <f aca="false">IF(C429="","",IFERROR(INDEX('Cadastro Mestre'!$Q$5:$Q$504,MATCH(C429,'Cadastro Mestre'!$A$5:$A$504,0)),""))</f>
        <v/>
      </c>
      <c r="F429" s="21"/>
      <c r="G429" s="21"/>
      <c r="H429" s="21"/>
      <c r="I429" s="21"/>
    </row>
    <row r="430" customFormat="false" ht="15" hidden="false" customHeight="false" outlineLevel="0" collapsed="false">
      <c r="A430" s="25"/>
      <c r="B430" s="21"/>
      <c r="C430" s="21"/>
      <c r="D430" s="26" t="str">
        <f aca="false">IF(C430="","",IFERROR(INDEX('Cadastro Mestre'!$C$5:$C$504,MATCH(C430,'Cadastro Mestre'!$A$5:$A$504,0)),"código não encontrado"))</f>
        <v/>
      </c>
      <c r="E430" s="24" t="str">
        <f aca="false">IF(C430="","",IFERROR(INDEX('Cadastro Mestre'!$Q$5:$Q$504,MATCH(C430,'Cadastro Mestre'!$A$5:$A$504,0)),""))</f>
        <v/>
      </c>
      <c r="F430" s="21"/>
      <c r="G430" s="21"/>
      <c r="H430" s="21"/>
      <c r="I430" s="21"/>
    </row>
    <row r="431" customFormat="false" ht="15" hidden="false" customHeight="false" outlineLevel="0" collapsed="false">
      <c r="A431" s="25"/>
      <c r="B431" s="21"/>
      <c r="C431" s="21"/>
      <c r="D431" s="26" t="str">
        <f aca="false">IF(C431="","",IFERROR(INDEX('Cadastro Mestre'!$C$5:$C$504,MATCH(C431,'Cadastro Mestre'!$A$5:$A$504,0)),"código não encontrado"))</f>
        <v/>
      </c>
      <c r="E431" s="24" t="str">
        <f aca="false">IF(C431="","",IFERROR(INDEX('Cadastro Mestre'!$Q$5:$Q$504,MATCH(C431,'Cadastro Mestre'!$A$5:$A$504,0)),""))</f>
        <v/>
      </c>
      <c r="F431" s="21"/>
      <c r="G431" s="21"/>
      <c r="H431" s="21"/>
      <c r="I431" s="21"/>
    </row>
    <row r="432" customFormat="false" ht="15" hidden="false" customHeight="false" outlineLevel="0" collapsed="false">
      <c r="A432" s="25"/>
      <c r="B432" s="21"/>
      <c r="C432" s="21"/>
      <c r="D432" s="26" t="str">
        <f aca="false">IF(C432="","",IFERROR(INDEX('Cadastro Mestre'!$C$5:$C$504,MATCH(C432,'Cadastro Mestre'!$A$5:$A$504,0)),"código não encontrado"))</f>
        <v/>
      </c>
      <c r="E432" s="24" t="str">
        <f aca="false">IF(C432="","",IFERROR(INDEX('Cadastro Mestre'!$Q$5:$Q$504,MATCH(C432,'Cadastro Mestre'!$A$5:$A$504,0)),""))</f>
        <v/>
      </c>
      <c r="F432" s="21"/>
      <c r="G432" s="21"/>
      <c r="H432" s="21"/>
      <c r="I432" s="21"/>
    </row>
    <row r="433" customFormat="false" ht="15" hidden="false" customHeight="false" outlineLevel="0" collapsed="false">
      <c r="A433" s="25"/>
      <c r="B433" s="21"/>
      <c r="C433" s="21"/>
      <c r="D433" s="26" t="str">
        <f aca="false">IF(C433="","",IFERROR(INDEX('Cadastro Mestre'!$C$5:$C$504,MATCH(C433,'Cadastro Mestre'!$A$5:$A$504,0)),"código não encontrado"))</f>
        <v/>
      </c>
      <c r="E433" s="24" t="str">
        <f aca="false">IF(C433="","",IFERROR(INDEX('Cadastro Mestre'!$Q$5:$Q$504,MATCH(C433,'Cadastro Mestre'!$A$5:$A$504,0)),""))</f>
        <v/>
      </c>
      <c r="F433" s="21"/>
      <c r="G433" s="21"/>
      <c r="H433" s="21"/>
      <c r="I433" s="21"/>
    </row>
    <row r="434" customFormat="false" ht="15" hidden="false" customHeight="false" outlineLevel="0" collapsed="false">
      <c r="A434" s="25"/>
      <c r="B434" s="21"/>
      <c r="C434" s="21"/>
      <c r="D434" s="26" t="str">
        <f aca="false">IF(C434="","",IFERROR(INDEX('Cadastro Mestre'!$C$5:$C$504,MATCH(C434,'Cadastro Mestre'!$A$5:$A$504,0)),"código não encontrado"))</f>
        <v/>
      </c>
      <c r="E434" s="24" t="str">
        <f aca="false">IF(C434="","",IFERROR(INDEX('Cadastro Mestre'!$Q$5:$Q$504,MATCH(C434,'Cadastro Mestre'!$A$5:$A$504,0)),""))</f>
        <v/>
      </c>
      <c r="F434" s="21"/>
      <c r="G434" s="21"/>
      <c r="H434" s="21"/>
      <c r="I434" s="21"/>
    </row>
    <row r="435" customFormat="false" ht="15" hidden="false" customHeight="false" outlineLevel="0" collapsed="false">
      <c r="A435" s="25"/>
      <c r="B435" s="21"/>
      <c r="C435" s="21"/>
      <c r="D435" s="26" t="str">
        <f aca="false">IF(C435="","",IFERROR(INDEX('Cadastro Mestre'!$C$5:$C$504,MATCH(C435,'Cadastro Mestre'!$A$5:$A$504,0)),"código não encontrado"))</f>
        <v/>
      </c>
      <c r="E435" s="24" t="str">
        <f aca="false">IF(C435="","",IFERROR(INDEX('Cadastro Mestre'!$Q$5:$Q$504,MATCH(C435,'Cadastro Mestre'!$A$5:$A$504,0)),""))</f>
        <v/>
      </c>
      <c r="F435" s="21"/>
      <c r="G435" s="21"/>
      <c r="H435" s="21"/>
      <c r="I435" s="21"/>
    </row>
    <row r="436" customFormat="false" ht="15" hidden="false" customHeight="false" outlineLevel="0" collapsed="false">
      <c r="A436" s="25"/>
      <c r="B436" s="21"/>
      <c r="C436" s="21"/>
      <c r="D436" s="26" t="str">
        <f aca="false">IF(C436="","",IFERROR(INDEX('Cadastro Mestre'!$C$5:$C$504,MATCH(C436,'Cadastro Mestre'!$A$5:$A$504,0)),"código não encontrado"))</f>
        <v/>
      </c>
      <c r="E436" s="24" t="str">
        <f aca="false">IF(C436="","",IFERROR(INDEX('Cadastro Mestre'!$Q$5:$Q$504,MATCH(C436,'Cadastro Mestre'!$A$5:$A$504,0)),""))</f>
        <v/>
      </c>
      <c r="F436" s="21"/>
      <c r="G436" s="21"/>
      <c r="H436" s="21"/>
      <c r="I436" s="21"/>
    </row>
    <row r="437" customFormat="false" ht="15" hidden="false" customHeight="false" outlineLevel="0" collapsed="false">
      <c r="A437" s="25"/>
      <c r="B437" s="21"/>
      <c r="C437" s="21"/>
      <c r="D437" s="26" t="str">
        <f aca="false">IF(C437="","",IFERROR(INDEX('Cadastro Mestre'!$C$5:$C$504,MATCH(C437,'Cadastro Mestre'!$A$5:$A$504,0)),"código não encontrado"))</f>
        <v/>
      </c>
      <c r="E437" s="24" t="str">
        <f aca="false">IF(C437="","",IFERROR(INDEX('Cadastro Mestre'!$Q$5:$Q$504,MATCH(C437,'Cadastro Mestre'!$A$5:$A$504,0)),""))</f>
        <v/>
      </c>
      <c r="F437" s="21"/>
      <c r="G437" s="21"/>
      <c r="H437" s="21"/>
      <c r="I437" s="21"/>
    </row>
    <row r="438" customFormat="false" ht="15" hidden="false" customHeight="false" outlineLevel="0" collapsed="false">
      <c r="A438" s="25"/>
      <c r="B438" s="21"/>
      <c r="C438" s="21"/>
      <c r="D438" s="26" t="str">
        <f aca="false">IF(C438="","",IFERROR(INDEX('Cadastro Mestre'!$C$5:$C$504,MATCH(C438,'Cadastro Mestre'!$A$5:$A$504,0)),"código não encontrado"))</f>
        <v/>
      </c>
      <c r="E438" s="24" t="str">
        <f aca="false">IF(C438="","",IFERROR(INDEX('Cadastro Mestre'!$Q$5:$Q$504,MATCH(C438,'Cadastro Mestre'!$A$5:$A$504,0)),""))</f>
        <v/>
      </c>
      <c r="F438" s="21"/>
      <c r="G438" s="21"/>
      <c r="H438" s="21"/>
      <c r="I438" s="21"/>
    </row>
    <row r="439" customFormat="false" ht="15" hidden="false" customHeight="false" outlineLevel="0" collapsed="false">
      <c r="A439" s="25"/>
      <c r="B439" s="21"/>
      <c r="C439" s="21"/>
      <c r="D439" s="26" t="str">
        <f aca="false">IF(C439="","",IFERROR(INDEX('Cadastro Mestre'!$C$5:$C$504,MATCH(C439,'Cadastro Mestre'!$A$5:$A$504,0)),"código não encontrado"))</f>
        <v/>
      </c>
      <c r="E439" s="24" t="str">
        <f aca="false">IF(C439="","",IFERROR(INDEX('Cadastro Mestre'!$Q$5:$Q$504,MATCH(C439,'Cadastro Mestre'!$A$5:$A$504,0)),""))</f>
        <v/>
      </c>
      <c r="F439" s="21"/>
      <c r="G439" s="21"/>
      <c r="H439" s="21"/>
      <c r="I439" s="21"/>
    </row>
    <row r="440" customFormat="false" ht="15" hidden="false" customHeight="false" outlineLevel="0" collapsed="false">
      <c r="A440" s="25"/>
      <c r="B440" s="21"/>
      <c r="C440" s="21"/>
      <c r="D440" s="26" t="str">
        <f aca="false">IF(C440="","",IFERROR(INDEX('Cadastro Mestre'!$C$5:$C$504,MATCH(C440,'Cadastro Mestre'!$A$5:$A$504,0)),"código não encontrado"))</f>
        <v/>
      </c>
      <c r="E440" s="24" t="str">
        <f aca="false">IF(C440="","",IFERROR(INDEX('Cadastro Mestre'!$Q$5:$Q$504,MATCH(C440,'Cadastro Mestre'!$A$5:$A$504,0)),""))</f>
        <v/>
      </c>
      <c r="F440" s="21"/>
      <c r="G440" s="21"/>
      <c r="H440" s="21"/>
      <c r="I440" s="21"/>
    </row>
    <row r="441" customFormat="false" ht="15" hidden="false" customHeight="false" outlineLevel="0" collapsed="false">
      <c r="A441" s="25"/>
      <c r="B441" s="21"/>
      <c r="C441" s="21"/>
      <c r="D441" s="26" t="str">
        <f aca="false">IF(C441="","",IFERROR(INDEX('Cadastro Mestre'!$C$5:$C$504,MATCH(C441,'Cadastro Mestre'!$A$5:$A$504,0)),"código não encontrado"))</f>
        <v/>
      </c>
      <c r="E441" s="24" t="str">
        <f aca="false">IF(C441="","",IFERROR(INDEX('Cadastro Mestre'!$Q$5:$Q$504,MATCH(C441,'Cadastro Mestre'!$A$5:$A$504,0)),""))</f>
        <v/>
      </c>
      <c r="F441" s="21"/>
      <c r="G441" s="21"/>
      <c r="H441" s="21"/>
      <c r="I441" s="21"/>
    </row>
    <row r="442" customFormat="false" ht="15" hidden="false" customHeight="false" outlineLevel="0" collapsed="false">
      <c r="A442" s="25"/>
      <c r="B442" s="21"/>
      <c r="C442" s="21"/>
      <c r="D442" s="26" t="str">
        <f aca="false">IF(C442="","",IFERROR(INDEX('Cadastro Mestre'!$C$5:$C$504,MATCH(C442,'Cadastro Mestre'!$A$5:$A$504,0)),"código não encontrado"))</f>
        <v/>
      </c>
      <c r="E442" s="24" t="str">
        <f aca="false">IF(C442="","",IFERROR(INDEX('Cadastro Mestre'!$Q$5:$Q$504,MATCH(C442,'Cadastro Mestre'!$A$5:$A$504,0)),""))</f>
        <v/>
      </c>
      <c r="F442" s="21"/>
      <c r="G442" s="21"/>
      <c r="H442" s="21"/>
      <c r="I442" s="21"/>
    </row>
    <row r="443" customFormat="false" ht="15" hidden="false" customHeight="false" outlineLevel="0" collapsed="false">
      <c r="A443" s="25"/>
      <c r="B443" s="21"/>
      <c r="C443" s="21"/>
      <c r="D443" s="26" t="str">
        <f aca="false">IF(C443="","",IFERROR(INDEX('Cadastro Mestre'!$C$5:$C$504,MATCH(C443,'Cadastro Mestre'!$A$5:$A$504,0)),"código não encontrado"))</f>
        <v/>
      </c>
      <c r="E443" s="24" t="str">
        <f aca="false">IF(C443="","",IFERROR(INDEX('Cadastro Mestre'!$Q$5:$Q$504,MATCH(C443,'Cadastro Mestre'!$A$5:$A$504,0)),""))</f>
        <v/>
      </c>
      <c r="F443" s="21"/>
      <c r="G443" s="21"/>
      <c r="H443" s="21"/>
      <c r="I443" s="21"/>
    </row>
    <row r="444" customFormat="false" ht="15" hidden="false" customHeight="false" outlineLevel="0" collapsed="false">
      <c r="A444" s="25"/>
      <c r="B444" s="21"/>
      <c r="C444" s="21"/>
      <c r="D444" s="26" t="str">
        <f aca="false">IF(C444="","",IFERROR(INDEX('Cadastro Mestre'!$C$5:$C$504,MATCH(C444,'Cadastro Mestre'!$A$5:$A$504,0)),"código não encontrado"))</f>
        <v/>
      </c>
      <c r="E444" s="24" t="str">
        <f aca="false">IF(C444="","",IFERROR(INDEX('Cadastro Mestre'!$Q$5:$Q$504,MATCH(C444,'Cadastro Mestre'!$A$5:$A$504,0)),""))</f>
        <v/>
      </c>
      <c r="F444" s="21"/>
      <c r="G444" s="21"/>
      <c r="H444" s="21"/>
      <c r="I444" s="21"/>
    </row>
    <row r="445" customFormat="false" ht="15" hidden="false" customHeight="false" outlineLevel="0" collapsed="false">
      <c r="A445" s="25"/>
      <c r="B445" s="21"/>
      <c r="C445" s="21"/>
      <c r="D445" s="26" t="str">
        <f aca="false">IF(C445="","",IFERROR(INDEX('Cadastro Mestre'!$C$5:$C$504,MATCH(C445,'Cadastro Mestre'!$A$5:$A$504,0)),"código não encontrado"))</f>
        <v/>
      </c>
      <c r="E445" s="24" t="str">
        <f aca="false">IF(C445="","",IFERROR(INDEX('Cadastro Mestre'!$Q$5:$Q$504,MATCH(C445,'Cadastro Mestre'!$A$5:$A$504,0)),""))</f>
        <v/>
      </c>
      <c r="F445" s="21"/>
      <c r="G445" s="21"/>
      <c r="H445" s="21"/>
      <c r="I445" s="21"/>
    </row>
    <row r="446" customFormat="false" ht="15" hidden="false" customHeight="false" outlineLevel="0" collapsed="false">
      <c r="A446" s="25"/>
      <c r="B446" s="21"/>
      <c r="C446" s="21"/>
      <c r="D446" s="26" t="str">
        <f aca="false">IF(C446="","",IFERROR(INDEX('Cadastro Mestre'!$C$5:$C$504,MATCH(C446,'Cadastro Mestre'!$A$5:$A$504,0)),"código não encontrado"))</f>
        <v/>
      </c>
      <c r="E446" s="24" t="str">
        <f aca="false">IF(C446="","",IFERROR(INDEX('Cadastro Mestre'!$Q$5:$Q$504,MATCH(C446,'Cadastro Mestre'!$A$5:$A$504,0)),""))</f>
        <v/>
      </c>
      <c r="F446" s="21"/>
      <c r="G446" s="21"/>
      <c r="H446" s="21"/>
      <c r="I446" s="21"/>
    </row>
    <row r="447" customFormat="false" ht="15" hidden="false" customHeight="false" outlineLevel="0" collapsed="false">
      <c r="A447" s="25"/>
      <c r="B447" s="21"/>
      <c r="C447" s="21"/>
      <c r="D447" s="26" t="str">
        <f aca="false">IF(C447="","",IFERROR(INDEX('Cadastro Mestre'!$C$5:$C$504,MATCH(C447,'Cadastro Mestre'!$A$5:$A$504,0)),"código não encontrado"))</f>
        <v/>
      </c>
      <c r="E447" s="24" t="str">
        <f aca="false">IF(C447="","",IFERROR(INDEX('Cadastro Mestre'!$Q$5:$Q$504,MATCH(C447,'Cadastro Mestre'!$A$5:$A$504,0)),""))</f>
        <v/>
      </c>
      <c r="F447" s="21"/>
      <c r="G447" s="21"/>
      <c r="H447" s="21"/>
      <c r="I447" s="21"/>
    </row>
    <row r="448" customFormat="false" ht="15" hidden="false" customHeight="false" outlineLevel="0" collapsed="false">
      <c r="A448" s="25"/>
      <c r="B448" s="21"/>
      <c r="C448" s="21"/>
      <c r="D448" s="26" t="str">
        <f aca="false">IF(C448="","",IFERROR(INDEX('Cadastro Mestre'!$C$5:$C$504,MATCH(C448,'Cadastro Mestre'!$A$5:$A$504,0)),"código não encontrado"))</f>
        <v/>
      </c>
      <c r="E448" s="24" t="str">
        <f aca="false">IF(C448="","",IFERROR(INDEX('Cadastro Mestre'!$Q$5:$Q$504,MATCH(C448,'Cadastro Mestre'!$A$5:$A$504,0)),""))</f>
        <v/>
      </c>
      <c r="F448" s="21"/>
      <c r="G448" s="21"/>
      <c r="H448" s="21"/>
      <c r="I448" s="21"/>
    </row>
    <row r="449" customFormat="false" ht="15" hidden="false" customHeight="false" outlineLevel="0" collapsed="false">
      <c r="A449" s="25"/>
      <c r="B449" s="21"/>
      <c r="C449" s="21"/>
      <c r="D449" s="26" t="str">
        <f aca="false">IF(C449="","",IFERROR(INDEX('Cadastro Mestre'!$C$5:$C$504,MATCH(C449,'Cadastro Mestre'!$A$5:$A$504,0)),"código não encontrado"))</f>
        <v/>
      </c>
      <c r="E449" s="24" t="str">
        <f aca="false">IF(C449="","",IFERROR(INDEX('Cadastro Mestre'!$Q$5:$Q$504,MATCH(C449,'Cadastro Mestre'!$A$5:$A$504,0)),""))</f>
        <v/>
      </c>
      <c r="F449" s="21"/>
      <c r="G449" s="21"/>
      <c r="H449" s="21"/>
      <c r="I449" s="21"/>
    </row>
    <row r="450" customFormat="false" ht="15" hidden="false" customHeight="false" outlineLevel="0" collapsed="false">
      <c r="A450" s="25"/>
      <c r="B450" s="21"/>
      <c r="C450" s="21"/>
      <c r="D450" s="26" t="str">
        <f aca="false">IF(C450="","",IFERROR(INDEX('Cadastro Mestre'!$C$5:$C$504,MATCH(C450,'Cadastro Mestre'!$A$5:$A$504,0)),"código não encontrado"))</f>
        <v/>
      </c>
      <c r="E450" s="24" t="str">
        <f aca="false">IF(C450="","",IFERROR(INDEX('Cadastro Mestre'!$Q$5:$Q$504,MATCH(C450,'Cadastro Mestre'!$A$5:$A$504,0)),""))</f>
        <v/>
      </c>
      <c r="F450" s="21"/>
      <c r="G450" s="21"/>
      <c r="H450" s="21"/>
      <c r="I450" s="21"/>
    </row>
    <row r="451" customFormat="false" ht="15" hidden="false" customHeight="false" outlineLevel="0" collapsed="false">
      <c r="A451" s="25"/>
      <c r="B451" s="21"/>
      <c r="C451" s="21"/>
      <c r="D451" s="26" t="str">
        <f aca="false">IF(C451="","",IFERROR(INDEX('Cadastro Mestre'!$C$5:$C$504,MATCH(C451,'Cadastro Mestre'!$A$5:$A$504,0)),"código não encontrado"))</f>
        <v/>
      </c>
      <c r="E451" s="24" t="str">
        <f aca="false">IF(C451="","",IFERROR(INDEX('Cadastro Mestre'!$Q$5:$Q$504,MATCH(C451,'Cadastro Mestre'!$A$5:$A$504,0)),""))</f>
        <v/>
      </c>
      <c r="F451" s="21"/>
      <c r="G451" s="21"/>
      <c r="H451" s="21"/>
      <c r="I451" s="21"/>
    </row>
    <row r="452" customFormat="false" ht="15" hidden="false" customHeight="false" outlineLevel="0" collapsed="false">
      <c r="A452" s="25"/>
      <c r="B452" s="21"/>
      <c r="C452" s="21"/>
      <c r="D452" s="26" t="str">
        <f aca="false">IF(C452="","",IFERROR(INDEX('Cadastro Mestre'!$C$5:$C$504,MATCH(C452,'Cadastro Mestre'!$A$5:$A$504,0)),"código não encontrado"))</f>
        <v/>
      </c>
      <c r="E452" s="24" t="str">
        <f aca="false">IF(C452="","",IFERROR(INDEX('Cadastro Mestre'!$Q$5:$Q$504,MATCH(C452,'Cadastro Mestre'!$A$5:$A$504,0)),""))</f>
        <v/>
      </c>
      <c r="F452" s="21"/>
      <c r="G452" s="21"/>
      <c r="H452" s="21"/>
      <c r="I452" s="21"/>
    </row>
    <row r="453" customFormat="false" ht="15" hidden="false" customHeight="false" outlineLevel="0" collapsed="false">
      <c r="A453" s="25"/>
      <c r="B453" s="21"/>
      <c r="C453" s="21"/>
      <c r="D453" s="26" t="str">
        <f aca="false">IF(C453="","",IFERROR(INDEX('Cadastro Mestre'!$C$5:$C$504,MATCH(C453,'Cadastro Mestre'!$A$5:$A$504,0)),"código não encontrado"))</f>
        <v/>
      </c>
      <c r="E453" s="24" t="str">
        <f aca="false">IF(C453="","",IFERROR(INDEX('Cadastro Mestre'!$Q$5:$Q$504,MATCH(C453,'Cadastro Mestre'!$A$5:$A$504,0)),""))</f>
        <v/>
      </c>
      <c r="F453" s="21"/>
      <c r="G453" s="21"/>
      <c r="H453" s="21"/>
      <c r="I453" s="21"/>
    </row>
    <row r="454" customFormat="false" ht="15" hidden="false" customHeight="false" outlineLevel="0" collapsed="false">
      <c r="A454" s="25"/>
      <c r="B454" s="21"/>
      <c r="C454" s="21"/>
      <c r="D454" s="26" t="str">
        <f aca="false">IF(C454="","",IFERROR(INDEX('Cadastro Mestre'!$C$5:$C$504,MATCH(C454,'Cadastro Mestre'!$A$5:$A$504,0)),"código não encontrado"))</f>
        <v/>
      </c>
      <c r="E454" s="24" t="str">
        <f aca="false">IF(C454="","",IFERROR(INDEX('Cadastro Mestre'!$Q$5:$Q$504,MATCH(C454,'Cadastro Mestre'!$A$5:$A$504,0)),""))</f>
        <v/>
      </c>
      <c r="F454" s="21"/>
      <c r="G454" s="21"/>
      <c r="H454" s="21"/>
      <c r="I454" s="21"/>
    </row>
    <row r="455" customFormat="false" ht="15" hidden="false" customHeight="false" outlineLevel="0" collapsed="false">
      <c r="A455" s="25"/>
      <c r="B455" s="21"/>
      <c r="C455" s="21"/>
      <c r="D455" s="26" t="str">
        <f aca="false">IF(C455="","",IFERROR(INDEX('Cadastro Mestre'!$C$5:$C$504,MATCH(C455,'Cadastro Mestre'!$A$5:$A$504,0)),"código não encontrado"))</f>
        <v/>
      </c>
      <c r="E455" s="24" t="str">
        <f aca="false">IF(C455="","",IFERROR(INDEX('Cadastro Mestre'!$Q$5:$Q$504,MATCH(C455,'Cadastro Mestre'!$A$5:$A$504,0)),""))</f>
        <v/>
      </c>
      <c r="F455" s="21"/>
      <c r="G455" s="21"/>
      <c r="H455" s="21"/>
      <c r="I455" s="21"/>
    </row>
    <row r="456" customFormat="false" ht="15" hidden="false" customHeight="false" outlineLevel="0" collapsed="false">
      <c r="A456" s="25"/>
      <c r="B456" s="21"/>
      <c r="C456" s="21"/>
      <c r="D456" s="26" t="str">
        <f aca="false">IF(C456="","",IFERROR(INDEX('Cadastro Mestre'!$C$5:$C$504,MATCH(C456,'Cadastro Mestre'!$A$5:$A$504,0)),"código não encontrado"))</f>
        <v/>
      </c>
      <c r="E456" s="24" t="str">
        <f aca="false">IF(C456="","",IFERROR(INDEX('Cadastro Mestre'!$Q$5:$Q$504,MATCH(C456,'Cadastro Mestre'!$A$5:$A$504,0)),""))</f>
        <v/>
      </c>
      <c r="F456" s="21"/>
      <c r="G456" s="21"/>
      <c r="H456" s="21"/>
      <c r="I456" s="21"/>
    </row>
    <row r="457" customFormat="false" ht="15" hidden="false" customHeight="false" outlineLevel="0" collapsed="false">
      <c r="A457" s="25"/>
      <c r="B457" s="21"/>
      <c r="C457" s="21"/>
      <c r="D457" s="26" t="str">
        <f aca="false">IF(C457="","",IFERROR(INDEX('Cadastro Mestre'!$C$5:$C$504,MATCH(C457,'Cadastro Mestre'!$A$5:$A$504,0)),"código não encontrado"))</f>
        <v/>
      </c>
      <c r="E457" s="24" t="str">
        <f aca="false">IF(C457="","",IFERROR(INDEX('Cadastro Mestre'!$Q$5:$Q$504,MATCH(C457,'Cadastro Mestre'!$A$5:$A$504,0)),""))</f>
        <v/>
      </c>
      <c r="F457" s="21"/>
      <c r="G457" s="21"/>
      <c r="H457" s="21"/>
      <c r="I457" s="21"/>
    </row>
    <row r="458" customFormat="false" ht="15" hidden="false" customHeight="false" outlineLevel="0" collapsed="false">
      <c r="A458" s="25"/>
      <c r="B458" s="21"/>
      <c r="C458" s="21"/>
      <c r="D458" s="26" t="str">
        <f aca="false">IF(C458="","",IFERROR(INDEX('Cadastro Mestre'!$C$5:$C$504,MATCH(C458,'Cadastro Mestre'!$A$5:$A$504,0)),"código não encontrado"))</f>
        <v/>
      </c>
      <c r="E458" s="24" t="str">
        <f aca="false">IF(C458="","",IFERROR(INDEX('Cadastro Mestre'!$Q$5:$Q$504,MATCH(C458,'Cadastro Mestre'!$A$5:$A$504,0)),""))</f>
        <v/>
      </c>
      <c r="F458" s="21"/>
      <c r="G458" s="21"/>
      <c r="H458" s="21"/>
      <c r="I458" s="21"/>
    </row>
    <row r="459" customFormat="false" ht="15" hidden="false" customHeight="false" outlineLevel="0" collapsed="false">
      <c r="A459" s="25"/>
      <c r="B459" s="21"/>
      <c r="C459" s="21"/>
      <c r="D459" s="26" t="str">
        <f aca="false">IF(C459="","",IFERROR(INDEX('Cadastro Mestre'!$C$5:$C$504,MATCH(C459,'Cadastro Mestre'!$A$5:$A$504,0)),"código não encontrado"))</f>
        <v/>
      </c>
      <c r="E459" s="24" t="str">
        <f aca="false">IF(C459="","",IFERROR(INDEX('Cadastro Mestre'!$Q$5:$Q$504,MATCH(C459,'Cadastro Mestre'!$A$5:$A$504,0)),""))</f>
        <v/>
      </c>
      <c r="F459" s="21"/>
      <c r="G459" s="21"/>
      <c r="H459" s="21"/>
      <c r="I459" s="21"/>
    </row>
    <row r="460" customFormat="false" ht="15" hidden="false" customHeight="false" outlineLevel="0" collapsed="false">
      <c r="A460" s="25"/>
      <c r="B460" s="21"/>
      <c r="C460" s="21"/>
      <c r="D460" s="26" t="str">
        <f aca="false">IF(C460="","",IFERROR(INDEX('Cadastro Mestre'!$C$5:$C$504,MATCH(C460,'Cadastro Mestre'!$A$5:$A$504,0)),"código não encontrado"))</f>
        <v/>
      </c>
      <c r="E460" s="24" t="str">
        <f aca="false">IF(C460="","",IFERROR(INDEX('Cadastro Mestre'!$Q$5:$Q$504,MATCH(C460,'Cadastro Mestre'!$A$5:$A$504,0)),""))</f>
        <v/>
      </c>
      <c r="F460" s="21"/>
      <c r="G460" s="21"/>
      <c r="H460" s="21"/>
      <c r="I460" s="21"/>
    </row>
    <row r="461" customFormat="false" ht="15" hidden="false" customHeight="false" outlineLevel="0" collapsed="false">
      <c r="A461" s="25"/>
      <c r="B461" s="21"/>
      <c r="C461" s="21"/>
      <c r="D461" s="26" t="str">
        <f aca="false">IF(C461="","",IFERROR(INDEX('Cadastro Mestre'!$C$5:$C$504,MATCH(C461,'Cadastro Mestre'!$A$5:$A$504,0)),"código não encontrado"))</f>
        <v/>
      </c>
      <c r="E461" s="24" t="str">
        <f aca="false">IF(C461="","",IFERROR(INDEX('Cadastro Mestre'!$Q$5:$Q$504,MATCH(C461,'Cadastro Mestre'!$A$5:$A$504,0)),""))</f>
        <v/>
      </c>
      <c r="F461" s="21"/>
      <c r="G461" s="21"/>
      <c r="H461" s="21"/>
      <c r="I461" s="21"/>
    </row>
    <row r="462" customFormat="false" ht="15" hidden="false" customHeight="false" outlineLevel="0" collapsed="false">
      <c r="A462" s="25"/>
      <c r="B462" s="21"/>
      <c r="C462" s="21"/>
      <c r="D462" s="26" t="str">
        <f aca="false">IF(C462="","",IFERROR(INDEX('Cadastro Mestre'!$C$5:$C$504,MATCH(C462,'Cadastro Mestre'!$A$5:$A$504,0)),"código não encontrado"))</f>
        <v/>
      </c>
      <c r="E462" s="24" t="str">
        <f aca="false">IF(C462="","",IFERROR(INDEX('Cadastro Mestre'!$Q$5:$Q$504,MATCH(C462,'Cadastro Mestre'!$A$5:$A$504,0)),""))</f>
        <v/>
      </c>
      <c r="F462" s="21"/>
      <c r="G462" s="21"/>
      <c r="H462" s="21"/>
      <c r="I462" s="21"/>
    </row>
    <row r="463" customFormat="false" ht="15" hidden="false" customHeight="false" outlineLevel="0" collapsed="false">
      <c r="A463" s="25"/>
      <c r="B463" s="21"/>
      <c r="C463" s="21"/>
      <c r="D463" s="26" t="str">
        <f aca="false">IF(C463="","",IFERROR(INDEX('Cadastro Mestre'!$C$5:$C$504,MATCH(C463,'Cadastro Mestre'!$A$5:$A$504,0)),"código não encontrado"))</f>
        <v/>
      </c>
      <c r="E463" s="24" t="str">
        <f aca="false">IF(C463="","",IFERROR(INDEX('Cadastro Mestre'!$Q$5:$Q$504,MATCH(C463,'Cadastro Mestre'!$A$5:$A$504,0)),""))</f>
        <v/>
      </c>
      <c r="F463" s="21"/>
      <c r="G463" s="21"/>
      <c r="H463" s="21"/>
      <c r="I463" s="21"/>
    </row>
    <row r="464" customFormat="false" ht="15" hidden="false" customHeight="false" outlineLevel="0" collapsed="false">
      <c r="A464" s="25"/>
      <c r="B464" s="21"/>
      <c r="C464" s="21"/>
      <c r="D464" s="26" t="str">
        <f aca="false">IF(C464="","",IFERROR(INDEX('Cadastro Mestre'!$C$5:$C$504,MATCH(C464,'Cadastro Mestre'!$A$5:$A$504,0)),"código não encontrado"))</f>
        <v/>
      </c>
      <c r="E464" s="24" t="str">
        <f aca="false">IF(C464="","",IFERROR(INDEX('Cadastro Mestre'!$Q$5:$Q$504,MATCH(C464,'Cadastro Mestre'!$A$5:$A$504,0)),""))</f>
        <v/>
      </c>
      <c r="F464" s="21"/>
      <c r="G464" s="21"/>
      <c r="H464" s="21"/>
      <c r="I464" s="21"/>
    </row>
    <row r="465" customFormat="false" ht="15" hidden="false" customHeight="false" outlineLevel="0" collapsed="false">
      <c r="A465" s="25"/>
      <c r="B465" s="21"/>
      <c r="C465" s="21"/>
      <c r="D465" s="26" t="str">
        <f aca="false">IF(C465="","",IFERROR(INDEX('Cadastro Mestre'!$C$5:$C$504,MATCH(C465,'Cadastro Mestre'!$A$5:$A$504,0)),"código não encontrado"))</f>
        <v/>
      </c>
      <c r="E465" s="24" t="str">
        <f aca="false">IF(C465="","",IFERROR(INDEX('Cadastro Mestre'!$Q$5:$Q$504,MATCH(C465,'Cadastro Mestre'!$A$5:$A$504,0)),""))</f>
        <v/>
      </c>
      <c r="F465" s="21"/>
      <c r="G465" s="21"/>
      <c r="H465" s="21"/>
      <c r="I465" s="21"/>
    </row>
    <row r="466" customFormat="false" ht="15" hidden="false" customHeight="false" outlineLevel="0" collapsed="false">
      <c r="A466" s="25"/>
      <c r="B466" s="21"/>
      <c r="C466" s="21"/>
      <c r="D466" s="26" t="str">
        <f aca="false">IF(C466="","",IFERROR(INDEX('Cadastro Mestre'!$C$5:$C$504,MATCH(C466,'Cadastro Mestre'!$A$5:$A$504,0)),"código não encontrado"))</f>
        <v/>
      </c>
      <c r="E466" s="24" t="str">
        <f aca="false">IF(C466="","",IFERROR(INDEX('Cadastro Mestre'!$Q$5:$Q$504,MATCH(C466,'Cadastro Mestre'!$A$5:$A$504,0)),""))</f>
        <v/>
      </c>
      <c r="F466" s="21"/>
      <c r="G466" s="21"/>
      <c r="H466" s="21"/>
      <c r="I466" s="21"/>
    </row>
    <row r="467" customFormat="false" ht="15" hidden="false" customHeight="false" outlineLevel="0" collapsed="false">
      <c r="A467" s="25"/>
      <c r="B467" s="21"/>
      <c r="C467" s="21"/>
      <c r="D467" s="26" t="str">
        <f aca="false">IF(C467="","",IFERROR(INDEX('Cadastro Mestre'!$C$5:$C$504,MATCH(C467,'Cadastro Mestre'!$A$5:$A$504,0)),"código não encontrado"))</f>
        <v/>
      </c>
      <c r="E467" s="24" t="str">
        <f aca="false">IF(C467="","",IFERROR(INDEX('Cadastro Mestre'!$Q$5:$Q$504,MATCH(C467,'Cadastro Mestre'!$A$5:$A$504,0)),""))</f>
        <v/>
      </c>
      <c r="F467" s="21"/>
      <c r="G467" s="21"/>
      <c r="H467" s="21"/>
      <c r="I467" s="21"/>
    </row>
    <row r="468" customFormat="false" ht="15" hidden="false" customHeight="false" outlineLevel="0" collapsed="false">
      <c r="A468" s="25"/>
      <c r="B468" s="21"/>
      <c r="C468" s="21"/>
      <c r="D468" s="26" t="str">
        <f aca="false">IF(C468="","",IFERROR(INDEX('Cadastro Mestre'!$C$5:$C$504,MATCH(C468,'Cadastro Mestre'!$A$5:$A$504,0)),"código não encontrado"))</f>
        <v/>
      </c>
      <c r="E468" s="24" t="str">
        <f aca="false">IF(C468="","",IFERROR(INDEX('Cadastro Mestre'!$Q$5:$Q$504,MATCH(C468,'Cadastro Mestre'!$A$5:$A$504,0)),""))</f>
        <v/>
      </c>
      <c r="F468" s="21"/>
      <c r="G468" s="21"/>
      <c r="H468" s="21"/>
      <c r="I468" s="21"/>
    </row>
    <row r="469" customFormat="false" ht="15" hidden="false" customHeight="false" outlineLevel="0" collapsed="false">
      <c r="A469" s="25"/>
      <c r="B469" s="21"/>
      <c r="C469" s="21"/>
      <c r="D469" s="26" t="str">
        <f aca="false">IF(C469="","",IFERROR(INDEX('Cadastro Mestre'!$C$5:$C$504,MATCH(C469,'Cadastro Mestre'!$A$5:$A$504,0)),"código não encontrado"))</f>
        <v/>
      </c>
      <c r="E469" s="24" t="str">
        <f aca="false">IF(C469="","",IFERROR(INDEX('Cadastro Mestre'!$Q$5:$Q$504,MATCH(C469,'Cadastro Mestre'!$A$5:$A$504,0)),""))</f>
        <v/>
      </c>
      <c r="F469" s="21"/>
      <c r="G469" s="21"/>
      <c r="H469" s="21"/>
      <c r="I469" s="21"/>
    </row>
    <row r="470" customFormat="false" ht="15" hidden="false" customHeight="false" outlineLevel="0" collapsed="false">
      <c r="A470" s="25"/>
      <c r="B470" s="21"/>
      <c r="C470" s="21"/>
      <c r="D470" s="26" t="str">
        <f aca="false">IF(C470="","",IFERROR(INDEX('Cadastro Mestre'!$C$5:$C$504,MATCH(C470,'Cadastro Mestre'!$A$5:$A$504,0)),"código não encontrado"))</f>
        <v/>
      </c>
      <c r="E470" s="24" t="str">
        <f aca="false">IF(C470="","",IFERROR(INDEX('Cadastro Mestre'!$Q$5:$Q$504,MATCH(C470,'Cadastro Mestre'!$A$5:$A$504,0)),""))</f>
        <v/>
      </c>
      <c r="F470" s="21"/>
      <c r="G470" s="21"/>
      <c r="H470" s="21"/>
      <c r="I470" s="21"/>
    </row>
    <row r="471" customFormat="false" ht="15" hidden="false" customHeight="false" outlineLevel="0" collapsed="false">
      <c r="A471" s="25"/>
      <c r="B471" s="21"/>
      <c r="C471" s="21"/>
      <c r="D471" s="26" t="str">
        <f aca="false">IF(C471="","",IFERROR(INDEX('Cadastro Mestre'!$C$5:$C$504,MATCH(C471,'Cadastro Mestre'!$A$5:$A$504,0)),"código não encontrado"))</f>
        <v/>
      </c>
      <c r="E471" s="24" t="str">
        <f aca="false">IF(C471="","",IFERROR(INDEX('Cadastro Mestre'!$Q$5:$Q$504,MATCH(C471,'Cadastro Mestre'!$A$5:$A$504,0)),""))</f>
        <v/>
      </c>
      <c r="F471" s="21"/>
      <c r="G471" s="21"/>
      <c r="H471" s="21"/>
      <c r="I471" s="21"/>
    </row>
    <row r="472" customFormat="false" ht="15" hidden="false" customHeight="false" outlineLevel="0" collapsed="false">
      <c r="A472" s="25"/>
      <c r="B472" s="21"/>
      <c r="C472" s="21"/>
      <c r="D472" s="26" t="str">
        <f aca="false">IF(C472="","",IFERROR(INDEX('Cadastro Mestre'!$C$5:$C$504,MATCH(C472,'Cadastro Mestre'!$A$5:$A$504,0)),"código não encontrado"))</f>
        <v/>
      </c>
      <c r="E472" s="24" t="str">
        <f aca="false">IF(C472="","",IFERROR(INDEX('Cadastro Mestre'!$Q$5:$Q$504,MATCH(C472,'Cadastro Mestre'!$A$5:$A$504,0)),""))</f>
        <v/>
      </c>
      <c r="F472" s="21"/>
      <c r="G472" s="21"/>
      <c r="H472" s="21"/>
      <c r="I472" s="21"/>
    </row>
    <row r="473" customFormat="false" ht="15" hidden="false" customHeight="false" outlineLevel="0" collapsed="false">
      <c r="A473" s="25"/>
      <c r="B473" s="21"/>
      <c r="C473" s="21"/>
      <c r="D473" s="26" t="str">
        <f aca="false">IF(C473="","",IFERROR(INDEX('Cadastro Mestre'!$C$5:$C$504,MATCH(C473,'Cadastro Mestre'!$A$5:$A$504,0)),"código não encontrado"))</f>
        <v/>
      </c>
      <c r="E473" s="24" t="str">
        <f aca="false">IF(C473="","",IFERROR(INDEX('Cadastro Mestre'!$Q$5:$Q$504,MATCH(C473,'Cadastro Mestre'!$A$5:$A$504,0)),""))</f>
        <v/>
      </c>
      <c r="F473" s="21"/>
      <c r="G473" s="21"/>
      <c r="H473" s="21"/>
      <c r="I473" s="21"/>
    </row>
    <row r="474" customFormat="false" ht="15" hidden="false" customHeight="false" outlineLevel="0" collapsed="false">
      <c r="A474" s="25"/>
      <c r="B474" s="21"/>
      <c r="C474" s="21"/>
      <c r="D474" s="26" t="str">
        <f aca="false">IF(C474="","",IFERROR(INDEX('Cadastro Mestre'!$C$5:$C$504,MATCH(C474,'Cadastro Mestre'!$A$5:$A$504,0)),"código não encontrado"))</f>
        <v/>
      </c>
      <c r="E474" s="24" t="str">
        <f aca="false">IF(C474="","",IFERROR(INDEX('Cadastro Mestre'!$Q$5:$Q$504,MATCH(C474,'Cadastro Mestre'!$A$5:$A$504,0)),""))</f>
        <v/>
      </c>
      <c r="F474" s="21"/>
      <c r="G474" s="21"/>
      <c r="H474" s="21"/>
      <c r="I474" s="21"/>
    </row>
    <row r="475" customFormat="false" ht="15" hidden="false" customHeight="false" outlineLevel="0" collapsed="false">
      <c r="A475" s="25"/>
      <c r="B475" s="21"/>
      <c r="C475" s="21"/>
      <c r="D475" s="26" t="str">
        <f aca="false">IF(C475="","",IFERROR(INDEX('Cadastro Mestre'!$C$5:$C$504,MATCH(C475,'Cadastro Mestre'!$A$5:$A$504,0)),"código não encontrado"))</f>
        <v/>
      </c>
      <c r="E475" s="24" t="str">
        <f aca="false">IF(C475="","",IFERROR(INDEX('Cadastro Mestre'!$Q$5:$Q$504,MATCH(C475,'Cadastro Mestre'!$A$5:$A$504,0)),""))</f>
        <v/>
      </c>
      <c r="F475" s="21"/>
      <c r="G475" s="21"/>
      <c r="H475" s="21"/>
      <c r="I475" s="21"/>
    </row>
    <row r="476" customFormat="false" ht="15" hidden="false" customHeight="false" outlineLevel="0" collapsed="false">
      <c r="A476" s="25"/>
      <c r="B476" s="21"/>
      <c r="C476" s="21"/>
      <c r="D476" s="26" t="str">
        <f aca="false">IF(C476="","",IFERROR(INDEX('Cadastro Mestre'!$C$5:$C$504,MATCH(C476,'Cadastro Mestre'!$A$5:$A$504,0)),"código não encontrado"))</f>
        <v/>
      </c>
      <c r="E476" s="24" t="str">
        <f aca="false">IF(C476="","",IFERROR(INDEX('Cadastro Mestre'!$Q$5:$Q$504,MATCH(C476,'Cadastro Mestre'!$A$5:$A$504,0)),""))</f>
        <v/>
      </c>
      <c r="F476" s="21"/>
      <c r="G476" s="21"/>
      <c r="H476" s="21"/>
      <c r="I476" s="21"/>
    </row>
    <row r="477" customFormat="false" ht="15" hidden="false" customHeight="false" outlineLevel="0" collapsed="false">
      <c r="A477" s="25"/>
      <c r="B477" s="21"/>
      <c r="C477" s="21"/>
      <c r="D477" s="26" t="str">
        <f aca="false">IF(C477="","",IFERROR(INDEX('Cadastro Mestre'!$C$5:$C$504,MATCH(C477,'Cadastro Mestre'!$A$5:$A$504,0)),"código não encontrado"))</f>
        <v/>
      </c>
      <c r="E477" s="24" t="str">
        <f aca="false">IF(C477="","",IFERROR(INDEX('Cadastro Mestre'!$Q$5:$Q$504,MATCH(C477,'Cadastro Mestre'!$A$5:$A$504,0)),""))</f>
        <v/>
      </c>
      <c r="F477" s="21"/>
      <c r="G477" s="21"/>
      <c r="H477" s="21"/>
      <c r="I477" s="21"/>
    </row>
    <row r="478" customFormat="false" ht="15" hidden="false" customHeight="false" outlineLevel="0" collapsed="false">
      <c r="A478" s="25"/>
      <c r="B478" s="21"/>
      <c r="C478" s="21"/>
      <c r="D478" s="26" t="str">
        <f aca="false">IF(C478="","",IFERROR(INDEX('Cadastro Mestre'!$C$5:$C$504,MATCH(C478,'Cadastro Mestre'!$A$5:$A$504,0)),"código não encontrado"))</f>
        <v/>
      </c>
      <c r="E478" s="24" t="str">
        <f aca="false">IF(C478="","",IFERROR(INDEX('Cadastro Mestre'!$Q$5:$Q$504,MATCH(C478,'Cadastro Mestre'!$A$5:$A$504,0)),""))</f>
        <v/>
      </c>
      <c r="F478" s="21"/>
      <c r="G478" s="21"/>
      <c r="H478" s="21"/>
      <c r="I478" s="21"/>
    </row>
    <row r="479" customFormat="false" ht="15" hidden="false" customHeight="false" outlineLevel="0" collapsed="false">
      <c r="A479" s="25"/>
      <c r="B479" s="21"/>
      <c r="C479" s="21"/>
      <c r="D479" s="26" t="str">
        <f aca="false">IF(C479="","",IFERROR(INDEX('Cadastro Mestre'!$C$5:$C$504,MATCH(C479,'Cadastro Mestre'!$A$5:$A$504,0)),"código não encontrado"))</f>
        <v/>
      </c>
      <c r="E479" s="24" t="str">
        <f aca="false">IF(C479="","",IFERROR(INDEX('Cadastro Mestre'!$Q$5:$Q$504,MATCH(C479,'Cadastro Mestre'!$A$5:$A$504,0)),""))</f>
        <v/>
      </c>
      <c r="F479" s="21"/>
      <c r="G479" s="21"/>
      <c r="H479" s="21"/>
      <c r="I479" s="21"/>
    </row>
    <row r="480" customFormat="false" ht="15" hidden="false" customHeight="false" outlineLevel="0" collapsed="false">
      <c r="A480" s="25"/>
      <c r="B480" s="21"/>
      <c r="C480" s="21"/>
      <c r="D480" s="26" t="str">
        <f aca="false">IF(C480="","",IFERROR(INDEX('Cadastro Mestre'!$C$5:$C$504,MATCH(C480,'Cadastro Mestre'!$A$5:$A$504,0)),"código não encontrado"))</f>
        <v/>
      </c>
      <c r="E480" s="24" t="str">
        <f aca="false">IF(C480="","",IFERROR(INDEX('Cadastro Mestre'!$Q$5:$Q$504,MATCH(C480,'Cadastro Mestre'!$A$5:$A$504,0)),""))</f>
        <v/>
      </c>
      <c r="F480" s="21"/>
      <c r="G480" s="21"/>
      <c r="H480" s="21"/>
      <c r="I480" s="21"/>
    </row>
    <row r="481" customFormat="false" ht="15" hidden="false" customHeight="false" outlineLevel="0" collapsed="false">
      <c r="A481" s="25"/>
      <c r="B481" s="21"/>
      <c r="C481" s="21"/>
      <c r="D481" s="26" t="str">
        <f aca="false">IF(C481="","",IFERROR(INDEX('Cadastro Mestre'!$C$5:$C$504,MATCH(C481,'Cadastro Mestre'!$A$5:$A$504,0)),"código não encontrado"))</f>
        <v/>
      </c>
      <c r="E481" s="24" t="str">
        <f aca="false">IF(C481="","",IFERROR(INDEX('Cadastro Mestre'!$Q$5:$Q$504,MATCH(C481,'Cadastro Mestre'!$A$5:$A$504,0)),""))</f>
        <v/>
      </c>
      <c r="F481" s="21"/>
      <c r="G481" s="21"/>
      <c r="H481" s="21"/>
      <c r="I481" s="21"/>
    </row>
    <row r="482" customFormat="false" ht="15" hidden="false" customHeight="false" outlineLevel="0" collapsed="false">
      <c r="A482" s="25"/>
      <c r="B482" s="21"/>
      <c r="C482" s="21"/>
      <c r="D482" s="26" t="str">
        <f aca="false">IF(C482="","",IFERROR(INDEX('Cadastro Mestre'!$C$5:$C$504,MATCH(C482,'Cadastro Mestre'!$A$5:$A$504,0)),"código não encontrado"))</f>
        <v/>
      </c>
      <c r="E482" s="24" t="str">
        <f aca="false">IF(C482="","",IFERROR(INDEX('Cadastro Mestre'!$Q$5:$Q$504,MATCH(C482,'Cadastro Mestre'!$A$5:$A$504,0)),""))</f>
        <v/>
      </c>
      <c r="F482" s="21"/>
      <c r="G482" s="21"/>
      <c r="H482" s="21"/>
      <c r="I482" s="21"/>
    </row>
    <row r="483" customFormat="false" ht="15" hidden="false" customHeight="false" outlineLevel="0" collapsed="false">
      <c r="A483" s="25"/>
      <c r="B483" s="21"/>
      <c r="C483" s="21"/>
      <c r="D483" s="26" t="str">
        <f aca="false">IF(C483="","",IFERROR(INDEX('Cadastro Mestre'!$C$5:$C$504,MATCH(C483,'Cadastro Mestre'!$A$5:$A$504,0)),"código não encontrado"))</f>
        <v/>
      </c>
      <c r="E483" s="24" t="str">
        <f aca="false">IF(C483="","",IFERROR(INDEX('Cadastro Mestre'!$Q$5:$Q$504,MATCH(C483,'Cadastro Mestre'!$A$5:$A$504,0)),""))</f>
        <v/>
      </c>
      <c r="F483" s="21"/>
      <c r="G483" s="21"/>
      <c r="H483" s="21"/>
      <c r="I483" s="21"/>
    </row>
    <row r="484" customFormat="false" ht="15" hidden="false" customHeight="false" outlineLevel="0" collapsed="false">
      <c r="A484" s="25"/>
      <c r="B484" s="21"/>
      <c r="C484" s="21"/>
      <c r="D484" s="26" t="str">
        <f aca="false">IF(C484="","",IFERROR(INDEX('Cadastro Mestre'!$C$5:$C$504,MATCH(C484,'Cadastro Mestre'!$A$5:$A$504,0)),"código não encontrado"))</f>
        <v/>
      </c>
      <c r="E484" s="24" t="str">
        <f aca="false">IF(C484="","",IFERROR(INDEX('Cadastro Mestre'!$Q$5:$Q$504,MATCH(C484,'Cadastro Mestre'!$A$5:$A$504,0)),""))</f>
        <v/>
      </c>
      <c r="F484" s="21"/>
      <c r="G484" s="21"/>
      <c r="H484" s="21"/>
      <c r="I484" s="21"/>
    </row>
    <row r="485" customFormat="false" ht="15" hidden="false" customHeight="false" outlineLevel="0" collapsed="false">
      <c r="A485" s="25"/>
      <c r="B485" s="21"/>
      <c r="C485" s="21"/>
      <c r="D485" s="26" t="str">
        <f aca="false">IF(C485="","",IFERROR(INDEX('Cadastro Mestre'!$C$5:$C$504,MATCH(C485,'Cadastro Mestre'!$A$5:$A$504,0)),"código não encontrado"))</f>
        <v/>
      </c>
      <c r="E485" s="24" t="str">
        <f aca="false">IF(C485="","",IFERROR(INDEX('Cadastro Mestre'!$Q$5:$Q$504,MATCH(C485,'Cadastro Mestre'!$A$5:$A$504,0)),""))</f>
        <v/>
      </c>
      <c r="F485" s="21"/>
      <c r="G485" s="21"/>
      <c r="H485" s="21"/>
      <c r="I485" s="21"/>
    </row>
    <row r="486" customFormat="false" ht="15" hidden="false" customHeight="false" outlineLevel="0" collapsed="false">
      <c r="A486" s="25"/>
      <c r="B486" s="21"/>
      <c r="C486" s="21"/>
      <c r="D486" s="26" t="str">
        <f aca="false">IF(C486="","",IFERROR(INDEX('Cadastro Mestre'!$C$5:$C$504,MATCH(C486,'Cadastro Mestre'!$A$5:$A$504,0)),"código não encontrado"))</f>
        <v/>
      </c>
      <c r="E486" s="24" t="str">
        <f aca="false">IF(C486="","",IFERROR(INDEX('Cadastro Mestre'!$Q$5:$Q$504,MATCH(C486,'Cadastro Mestre'!$A$5:$A$504,0)),""))</f>
        <v/>
      </c>
      <c r="F486" s="21"/>
      <c r="G486" s="21"/>
      <c r="H486" s="21"/>
      <c r="I486" s="21"/>
    </row>
    <row r="487" customFormat="false" ht="15" hidden="false" customHeight="false" outlineLevel="0" collapsed="false">
      <c r="A487" s="25"/>
      <c r="B487" s="21"/>
      <c r="C487" s="21"/>
      <c r="D487" s="26" t="str">
        <f aca="false">IF(C487="","",IFERROR(INDEX('Cadastro Mestre'!$C$5:$C$504,MATCH(C487,'Cadastro Mestre'!$A$5:$A$504,0)),"código não encontrado"))</f>
        <v/>
      </c>
      <c r="E487" s="24" t="str">
        <f aca="false">IF(C487="","",IFERROR(INDEX('Cadastro Mestre'!$Q$5:$Q$504,MATCH(C487,'Cadastro Mestre'!$A$5:$A$504,0)),""))</f>
        <v/>
      </c>
      <c r="F487" s="21"/>
      <c r="G487" s="21"/>
      <c r="H487" s="21"/>
      <c r="I487" s="21"/>
    </row>
    <row r="488" customFormat="false" ht="15" hidden="false" customHeight="false" outlineLevel="0" collapsed="false">
      <c r="A488" s="25"/>
      <c r="B488" s="21"/>
      <c r="C488" s="21"/>
      <c r="D488" s="26" t="str">
        <f aca="false">IF(C488="","",IFERROR(INDEX('Cadastro Mestre'!$C$5:$C$504,MATCH(C488,'Cadastro Mestre'!$A$5:$A$504,0)),"código não encontrado"))</f>
        <v/>
      </c>
      <c r="E488" s="24" t="str">
        <f aca="false">IF(C488="","",IFERROR(INDEX('Cadastro Mestre'!$Q$5:$Q$504,MATCH(C488,'Cadastro Mestre'!$A$5:$A$504,0)),""))</f>
        <v/>
      </c>
      <c r="F488" s="21"/>
      <c r="G488" s="21"/>
      <c r="H488" s="21"/>
      <c r="I488" s="21"/>
    </row>
    <row r="489" customFormat="false" ht="15" hidden="false" customHeight="false" outlineLevel="0" collapsed="false">
      <c r="A489" s="25"/>
      <c r="B489" s="21"/>
      <c r="C489" s="21"/>
      <c r="D489" s="26" t="str">
        <f aca="false">IF(C489="","",IFERROR(INDEX('Cadastro Mestre'!$C$5:$C$504,MATCH(C489,'Cadastro Mestre'!$A$5:$A$504,0)),"código não encontrado"))</f>
        <v/>
      </c>
      <c r="E489" s="24" t="str">
        <f aca="false">IF(C489="","",IFERROR(INDEX('Cadastro Mestre'!$Q$5:$Q$504,MATCH(C489,'Cadastro Mestre'!$A$5:$A$504,0)),""))</f>
        <v/>
      </c>
      <c r="F489" s="21"/>
      <c r="G489" s="21"/>
      <c r="H489" s="21"/>
      <c r="I489" s="21"/>
    </row>
    <row r="490" customFormat="false" ht="15" hidden="false" customHeight="false" outlineLevel="0" collapsed="false">
      <c r="A490" s="25"/>
      <c r="B490" s="21"/>
      <c r="C490" s="21"/>
      <c r="D490" s="26" t="str">
        <f aca="false">IF(C490="","",IFERROR(INDEX('Cadastro Mestre'!$C$5:$C$504,MATCH(C490,'Cadastro Mestre'!$A$5:$A$504,0)),"código não encontrado"))</f>
        <v/>
      </c>
      <c r="E490" s="24" t="str">
        <f aca="false">IF(C490="","",IFERROR(INDEX('Cadastro Mestre'!$Q$5:$Q$504,MATCH(C490,'Cadastro Mestre'!$A$5:$A$504,0)),""))</f>
        <v/>
      </c>
      <c r="F490" s="21"/>
      <c r="G490" s="21"/>
      <c r="H490" s="21"/>
      <c r="I490" s="21"/>
    </row>
    <row r="491" customFormat="false" ht="15" hidden="false" customHeight="false" outlineLevel="0" collapsed="false">
      <c r="A491" s="25"/>
      <c r="B491" s="21"/>
      <c r="C491" s="21"/>
      <c r="D491" s="26" t="str">
        <f aca="false">IF(C491="","",IFERROR(INDEX('Cadastro Mestre'!$C$5:$C$504,MATCH(C491,'Cadastro Mestre'!$A$5:$A$504,0)),"código não encontrado"))</f>
        <v/>
      </c>
      <c r="E491" s="24" t="str">
        <f aca="false">IF(C491="","",IFERROR(INDEX('Cadastro Mestre'!$Q$5:$Q$504,MATCH(C491,'Cadastro Mestre'!$A$5:$A$504,0)),""))</f>
        <v/>
      </c>
      <c r="F491" s="21"/>
      <c r="G491" s="21"/>
      <c r="H491" s="21"/>
      <c r="I491" s="21"/>
    </row>
    <row r="492" customFormat="false" ht="15" hidden="false" customHeight="false" outlineLevel="0" collapsed="false">
      <c r="A492" s="25"/>
      <c r="B492" s="21"/>
      <c r="C492" s="21"/>
      <c r="D492" s="26" t="str">
        <f aca="false">IF(C492="","",IFERROR(INDEX('Cadastro Mestre'!$C$5:$C$504,MATCH(C492,'Cadastro Mestre'!$A$5:$A$504,0)),"código não encontrado"))</f>
        <v/>
      </c>
      <c r="E492" s="24" t="str">
        <f aca="false">IF(C492="","",IFERROR(INDEX('Cadastro Mestre'!$Q$5:$Q$504,MATCH(C492,'Cadastro Mestre'!$A$5:$A$504,0)),""))</f>
        <v/>
      </c>
      <c r="F492" s="21"/>
      <c r="G492" s="21"/>
      <c r="H492" s="21"/>
      <c r="I492" s="21"/>
    </row>
    <row r="493" customFormat="false" ht="15" hidden="false" customHeight="false" outlineLevel="0" collapsed="false">
      <c r="A493" s="25"/>
      <c r="B493" s="21"/>
      <c r="C493" s="21"/>
      <c r="D493" s="26" t="str">
        <f aca="false">IF(C493="","",IFERROR(INDEX('Cadastro Mestre'!$C$5:$C$504,MATCH(C493,'Cadastro Mestre'!$A$5:$A$504,0)),"código não encontrado"))</f>
        <v/>
      </c>
      <c r="E493" s="24" t="str">
        <f aca="false">IF(C493="","",IFERROR(INDEX('Cadastro Mestre'!$Q$5:$Q$504,MATCH(C493,'Cadastro Mestre'!$A$5:$A$504,0)),""))</f>
        <v/>
      </c>
      <c r="F493" s="21"/>
      <c r="G493" s="21"/>
      <c r="H493" s="21"/>
      <c r="I493" s="21"/>
    </row>
    <row r="494" customFormat="false" ht="15" hidden="false" customHeight="false" outlineLevel="0" collapsed="false">
      <c r="A494" s="25"/>
      <c r="B494" s="21"/>
      <c r="C494" s="21"/>
      <c r="D494" s="26" t="str">
        <f aca="false">IF(C494="","",IFERROR(INDEX('Cadastro Mestre'!$C$5:$C$504,MATCH(C494,'Cadastro Mestre'!$A$5:$A$504,0)),"código não encontrado"))</f>
        <v/>
      </c>
      <c r="E494" s="24" t="str">
        <f aca="false">IF(C494="","",IFERROR(INDEX('Cadastro Mestre'!$Q$5:$Q$504,MATCH(C494,'Cadastro Mestre'!$A$5:$A$504,0)),""))</f>
        <v/>
      </c>
      <c r="F494" s="21"/>
      <c r="G494" s="21"/>
      <c r="H494" s="21"/>
      <c r="I494" s="21"/>
    </row>
    <row r="495" customFormat="false" ht="15" hidden="false" customHeight="false" outlineLevel="0" collapsed="false">
      <c r="A495" s="25"/>
      <c r="B495" s="21"/>
      <c r="C495" s="21"/>
      <c r="D495" s="26" t="str">
        <f aca="false">IF(C495="","",IFERROR(INDEX('Cadastro Mestre'!$C$5:$C$504,MATCH(C495,'Cadastro Mestre'!$A$5:$A$504,0)),"código não encontrado"))</f>
        <v/>
      </c>
      <c r="E495" s="24" t="str">
        <f aca="false">IF(C495="","",IFERROR(INDEX('Cadastro Mestre'!$Q$5:$Q$504,MATCH(C495,'Cadastro Mestre'!$A$5:$A$504,0)),""))</f>
        <v/>
      </c>
      <c r="F495" s="21"/>
      <c r="G495" s="21"/>
      <c r="H495" s="21"/>
      <c r="I495" s="21"/>
    </row>
    <row r="496" customFormat="false" ht="15" hidden="false" customHeight="false" outlineLevel="0" collapsed="false">
      <c r="A496" s="25"/>
      <c r="B496" s="21"/>
      <c r="C496" s="21"/>
      <c r="D496" s="26" t="str">
        <f aca="false">IF(C496="","",IFERROR(INDEX('Cadastro Mestre'!$C$5:$C$504,MATCH(C496,'Cadastro Mestre'!$A$5:$A$504,0)),"código não encontrado"))</f>
        <v/>
      </c>
      <c r="E496" s="24" t="str">
        <f aca="false">IF(C496="","",IFERROR(INDEX('Cadastro Mestre'!$Q$5:$Q$504,MATCH(C496,'Cadastro Mestre'!$A$5:$A$504,0)),""))</f>
        <v/>
      </c>
      <c r="F496" s="21"/>
      <c r="G496" s="21"/>
      <c r="H496" s="21"/>
      <c r="I496" s="21"/>
    </row>
    <row r="497" customFormat="false" ht="15" hidden="false" customHeight="false" outlineLevel="0" collapsed="false">
      <c r="A497" s="25"/>
      <c r="B497" s="21"/>
      <c r="C497" s="21"/>
      <c r="D497" s="26" t="str">
        <f aca="false">IF(C497="","",IFERROR(INDEX('Cadastro Mestre'!$C$5:$C$504,MATCH(C497,'Cadastro Mestre'!$A$5:$A$504,0)),"código não encontrado"))</f>
        <v/>
      </c>
      <c r="E497" s="24" t="str">
        <f aca="false">IF(C497="","",IFERROR(INDEX('Cadastro Mestre'!$Q$5:$Q$504,MATCH(C497,'Cadastro Mestre'!$A$5:$A$504,0)),""))</f>
        <v/>
      </c>
      <c r="F497" s="21"/>
      <c r="G497" s="21"/>
      <c r="H497" s="21"/>
      <c r="I497" s="21"/>
    </row>
    <row r="498" customFormat="false" ht="15" hidden="false" customHeight="false" outlineLevel="0" collapsed="false">
      <c r="A498" s="25"/>
      <c r="B498" s="21"/>
      <c r="C498" s="21"/>
      <c r="D498" s="26" t="str">
        <f aca="false">IF(C498="","",IFERROR(INDEX('Cadastro Mestre'!$C$5:$C$504,MATCH(C498,'Cadastro Mestre'!$A$5:$A$504,0)),"código não encontrado"))</f>
        <v/>
      </c>
      <c r="E498" s="24" t="str">
        <f aca="false">IF(C498="","",IFERROR(INDEX('Cadastro Mestre'!$Q$5:$Q$504,MATCH(C498,'Cadastro Mestre'!$A$5:$A$504,0)),""))</f>
        <v/>
      </c>
      <c r="F498" s="21"/>
      <c r="G498" s="21"/>
      <c r="H498" s="21"/>
      <c r="I498" s="21"/>
    </row>
    <row r="499" customFormat="false" ht="15" hidden="false" customHeight="false" outlineLevel="0" collapsed="false">
      <c r="A499" s="25"/>
      <c r="B499" s="21"/>
      <c r="C499" s="21"/>
      <c r="D499" s="26" t="str">
        <f aca="false">IF(C499="","",IFERROR(INDEX('Cadastro Mestre'!$C$5:$C$504,MATCH(C499,'Cadastro Mestre'!$A$5:$A$504,0)),"código não encontrado"))</f>
        <v/>
      </c>
      <c r="E499" s="24" t="str">
        <f aca="false">IF(C499="","",IFERROR(INDEX('Cadastro Mestre'!$Q$5:$Q$504,MATCH(C499,'Cadastro Mestre'!$A$5:$A$504,0)),""))</f>
        <v/>
      </c>
      <c r="F499" s="21"/>
      <c r="G499" s="21"/>
      <c r="H499" s="21"/>
      <c r="I499" s="21"/>
    </row>
    <row r="500" customFormat="false" ht="15" hidden="false" customHeight="false" outlineLevel="0" collapsed="false">
      <c r="A500" s="25"/>
      <c r="B500" s="21"/>
      <c r="C500" s="21"/>
      <c r="D500" s="26" t="str">
        <f aca="false">IF(C500="","",IFERROR(INDEX('Cadastro Mestre'!$C$5:$C$504,MATCH(C500,'Cadastro Mestre'!$A$5:$A$504,0)),"código não encontrado"))</f>
        <v/>
      </c>
      <c r="E500" s="24" t="str">
        <f aca="false">IF(C500="","",IFERROR(INDEX('Cadastro Mestre'!$Q$5:$Q$504,MATCH(C500,'Cadastro Mestre'!$A$5:$A$504,0)),""))</f>
        <v/>
      </c>
      <c r="F500" s="21"/>
      <c r="G500" s="21"/>
      <c r="H500" s="21"/>
      <c r="I500" s="21"/>
    </row>
    <row r="501" customFormat="false" ht="15" hidden="false" customHeight="false" outlineLevel="0" collapsed="false">
      <c r="A501" s="25"/>
      <c r="B501" s="21"/>
      <c r="C501" s="21"/>
      <c r="D501" s="26" t="str">
        <f aca="false">IF(C501="","",IFERROR(INDEX('Cadastro Mestre'!$C$5:$C$504,MATCH(C501,'Cadastro Mestre'!$A$5:$A$504,0)),"código não encontrado"))</f>
        <v/>
      </c>
      <c r="E501" s="24" t="str">
        <f aca="false">IF(C501="","",IFERROR(INDEX('Cadastro Mestre'!$Q$5:$Q$504,MATCH(C501,'Cadastro Mestre'!$A$5:$A$504,0)),""))</f>
        <v/>
      </c>
      <c r="F501" s="21"/>
      <c r="G501" s="21"/>
      <c r="H501" s="21"/>
      <c r="I501" s="21"/>
    </row>
    <row r="502" customFormat="false" ht="15" hidden="false" customHeight="false" outlineLevel="0" collapsed="false">
      <c r="A502" s="25"/>
      <c r="B502" s="21"/>
      <c r="C502" s="21"/>
      <c r="D502" s="26" t="str">
        <f aca="false">IF(C502="","",IFERROR(INDEX('Cadastro Mestre'!$C$5:$C$504,MATCH(C502,'Cadastro Mestre'!$A$5:$A$504,0)),"código não encontrado"))</f>
        <v/>
      </c>
      <c r="E502" s="24" t="str">
        <f aca="false">IF(C502="","",IFERROR(INDEX('Cadastro Mestre'!$Q$5:$Q$504,MATCH(C502,'Cadastro Mestre'!$A$5:$A$504,0)),""))</f>
        <v/>
      </c>
      <c r="F502" s="21"/>
      <c r="G502" s="21"/>
      <c r="H502" s="21"/>
      <c r="I502" s="21"/>
    </row>
    <row r="503" customFormat="false" ht="15" hidden="false" customHeight="false" outlineLevel="0" collapsed="false">
      <c r="A503" s="25"/>
      <c r="B503" s="21"/>
      <c r="C503" s="21"/>
      <c r="D503" s="26" t="str">
        <f aca="false">IF(C503="","",IFERROR(INDEX('Cadastro Mestre'!$C$5:$C$504,MATCH(C503,'Cadastro Mestre'!$A$5:$A$504,0)),"código não encontrado"))</f>
        <v/>
      </c>
      <c r="E503" s="24" t="str">
        <f aca="false">IF(C503="","",IFERROR(INDEX('Cadastro Mestre'!$Q$5:$Q$504,MATCH(C503,'Cadastro Mestre'!$A$5:$A$504,0)),""))</f>
        <v/>
      </c>
      <c r="F503" s="21"/>
      <c r="G503" s="21"/>
      <c r="H503" s="21"/>
      <c r="I503" s="21"/>
    </row>
    <row r="504" customFormat="false" ht="15" hidden="false" customHeight="false" outlineLevel="0" collapsed="false">
      <c r="A504" s="25"/>
      <c r="B504" s="21"/>
      <c r="C504" s="21"/>
      <c r="D504" s="26" t="str">
        <f aca="false">IF(C504="","",IFERROR(INDEX('Cadastro Mestre'!$C$5:$C$504,MATCH(C504,'Cadastro Mestre'!$A$5:$A$504,0)),"código não encontrado"))</f>
        <v/>
      </c>
      <c r="E504" s="24" t="str">
        <f aca="false">IF(C504="","",IFERROR(INDEX('Cadastro Mestre'!$Q$5:$Q$504,MATCH(C504,'Cadastro Mestre'!$A$5:$A$504,0)),""))</f>
        <v/>
      </c>
      <c r="F504" s="21"/>
      <c r="G504" s="21"/>
      <c r="H504" s="21"/>
      <c r="I504" s="21"/>
    </row>
    <row r="505" customFormat="false" ht="15" hidden="false" customHeight="false" outlineLevel="0" collapsed="false">
      <c r="A505" s="25"/>
      <c r="B505" s="21"/>
      <c r="C505" s="21"/>
      <c r="D505" s="26" t="str">
        <f aca="false">IF(C505="","",IFERROR(INDEX('Cadastro Mestre'!$C$5:$C$504,MATCH(C505,'Cadastro Mestre'!$A$5:$A$504,0)),"código não encontrado"))</f>
        <v/>
      </c>
      <c r="E505" s="24" t="str">
        <f aca="false">IF(C505="","",IFERROR(INDEX('Cadastro Mestre'!$Q$5:$Q$504,MATCH(C505,'Cadastro Mestre'!$A$5:$A$504,0)),""))</f>
        <v/>
      </c>
      <c r="F505" s="21"/>
      <c r="G505" s="21"/>
      <c r="H505" s="21"/>
      <c r="I505" s="21"/>
    </row>
    <row r="506" customFormat="false" ht="15" hidden="false" customHeight="false" outlineLevel="0" collapsed="false">
      <c r="A506" s="25"/>
      <c r="B506" s="21"/>
      <c r="C506" s="21"/>
      <c r="D506" s="26" t="str">
        <f aca="false">IF(C506="","",IFERROR(INDEX('Cadastro Mestre'!$C$5:$C$504,MATCH(C506,'Cadastro Mestre'!$A$5:$A$504,0)),"código não encontrado"))</f>
        <v/>
      </c>
      <c r="E506" s="24" t="str">
        <f aca="false">IF(C506="","",IFERROR(INDEX('Cadastro Mestre'!$Q$5:$Q$504,MATCH(C506,'Cadastro Mestre'!$A$5:$A$504,0)),""))</f>
        <v/>
      </c>
      <c r="F506" s="21"/>
      <c r="G506" s="21"/>
      <c r="H506" s="21"/>
      <c r="I506" s="21"/>
    </row>
    <row r="507" customFormat="false" ht="15" hidden="false" customHeight="false" outlineLevel="0" collapsed="false">
      <c r="A507" s="25"/>
      <c r="B507" s="21"/>
      <c r="C507" s="21"/>
      <c r="D507" s="26" t="str">
        <f aca="false">IF(C507="","",IFERROR(INDEX('Cadastro Mestre'!$C$5:$C$504,MATCH(C507,'Cadastro Mestre'!$A$5:$A$504,0)),"código não encontrado"))</f>
        <v/>
      </c>
      <c r="E507" s="24" t="str">
        <f aca="false">IF(C507="","",IFERROR(INDEX('Cadastro Mestre'!$Q$5:$Q$504,MATCH(C507,'Cadastro Mestre'!$A$5:$A$504,0)),""))</f>
        <v/>
      </c>
      <c r="F507" s="21"/>
      <c r="G507" s="21"/>
      <c r="H507" s="21"/>
      <c r="I507" s="21"/>
    </row>
    <row r="508" customFormat="false" ht="15" hidden="false" customHeight="false" outlineLevel="0" collapsed="false">
      <c r="A508" s="25"/>
      <c r="B508" s="21"/>
      <c r="C508" s="21"/>
      <c r="D508" s="26" t="str">
        <f aca="false">IF(C508="","",IFERROR(INDEX('Cadastro Mestre'!$C$5:$C$504,MATCH(C508,'Cadastro Mestre'!$A$5:$A$504,0)),"código não encontrado"))</f>
        <v/>
      </c>
      <c r="E508" s="24" t="str">
        <f aca="false">IF(C508="","",IFERROR(INDEX('Cadastro Mestre'!$Q$5:$Q$504,MATCH(C508,'Cadastro Mestre'!$A$5:$A$504,0)),""))</f>
        <v/>
      </c>
      <c r="F508" s="21"/>
      <c r="G508" s="21"/>
      <c r="H508" s="21"/>
      <c r="I508" s="21"/>
    </row>
    <row r="509" customFormat="false" ht="15" hidden="false" customHeight="false" outlineLevel="0" collapsed="false">
      <c r="A509" s="25"/>
      <c r="B509" s="21"/>
      <c r="C509" s="21"/>
      <c r="D509" s="26" t="str">
        <f aca="false">IF(C509="","",IFERROR(INDEX('Cadastro Mestre'!$C$5:$C$504,MATCH(C509,'Cadastro Mestre'!$A$5:$A$504,0)),"código não encontrado"))</f>
        <v/>
      </c>
      <c r="E509" s="24" t="str">
        <f aca="false">IF(C509="","",IFERROR(INDEX('Cadastro Mestre'!$Q$5:$Q$504,MATCH(C509,'Cadastro Mestre'!$A$5:$A$504,0)),""))</f>
        <v/>
      </c>
      <c r="F509" s="21"/>
      <c r="G509" s="21"/>
      <c r="H509" s="21"/>
      <c r="I509" s="21"/>
    </row>
    <row r="510" customFormat="false" ht="15" hidden="false" customHeight="false" outlineLevel="0" collapsed="false">
      <c r="A510" s="25"/>
      <c r="B510" s="21"/>
      <c r="C510" s="21"/>
      <c r="D510" s="26" t="str">
        <f aca="false">IF(C510="","",IFERROR(INDEX('Cadastro Mestre'!$C$5:$C$504,MATCH(C510,'Cadastro Mestre'!$A$5:$A$504,0)),"código não encontrado"))</f>
        <v/>
      </c>
      <c r="E510" s="24" t="str">
        <f aca="false">IF(C510="","",IFERROR(INDEX('Cadastro Mestre'!$Q$5:$Q$504,MATCH(C510,'Cadastro Mestre'!$A$5:$A$504,0)),""))</f>
        <v/>
      </c>
      <c r="F510" s="21"/>
      <c r="G510" s="21"/>
      <c r="H510" s="21"/>
      <c r="I510" s="21"/>
    </row>
    <row r="511" customFormat="false" ht="15" hidden="false" customHeight="false" outlineLevel="0" collapsed="false">
      <c r="A511" s="25"/>
      <c r="B511" s="21"/>
      <c r="C511" s="21"/>
      <c r="D511" s="26" t="str">
        <f aca="false">IF(C511="","",IFERROR(INDEX('Cadastro Mestre'!$C$5:$C$504,MATCH(C511,'Cadastro Mestre'!$A$5:$A$504,0)),"código não encontrado"))</f>
        <v/>
      </c>
      <c r="E511" s="24" t="str">
        <f aca="false">IF(C511="","",IFERROR(INDEX('Cadastro Mestre'!$Q$5:$Q$504,MATCH(C511,'Cadastro Mestre'!$A$5:$A$504,0)),""))</f>
        <v/>
      </c>
      <c r="F511" s="21"/>
      <c r="G511" s="21"/>
      <c r="H511" s="21"/>
      <c r="I511" s="21"/>
    </row>
    <row r="512" customFormat="false" ht="15" hidden="false" customHeight="false" outlineLevel="0" collapsed="false">
      <c r="A512" s="25"/>
      <c r="B512" s="21"/>
      <c r="C512" s="21"/>
      <c r="D512" s="26" t="str">
        <f aca="false">IF(C512="","",IFERROR(INDEX('Cadastro Mestre'!$C$5:$C$504,MATCH(C512,'Cadastro Mestre'!$A$5:$A$504,0)),"código não encontrado"))</f>
        <v/>
      </c>
      <c r="E512" s="24" t="str">
        <f aca="false">IF(C512="","",IFERROR(INDEX('Cadastro Mestre'!$Q$5:$Q$504,MATCH(C512,'Cadastro Mestre'!$A$5:$A$504,0)),""))</f>
        <v/>
      </c>
      <c r="F512" s="21"/>
      <c r="G512" s="21"/>
      <c r="H512" s="21"/>
      <c r="I512" s="21"/>
    </row>
    <row r="513" customFormat="false" ht="15" hidden="false" customHeight="false" outlineLevel="0" collapsed="false">
      <c r="A513" s="25"/>
      <c r="B513" s="21"/>
      <c r="C513" s="21"/>
      <c r="D513" s="26" t="str">
        <f aca="false">IF(C513="","",IFERROR(INDEX('Cadastro Mestre'!$C$5:$C$504,MATCH(C513,'Cadastro Mestre'!$A$5:$A$504,0)),"código não encontrado"))</f>
        <v/>
      </c>
      <c r="E513" s="24" t="str">
        <f aca="false">IF(C513="","",IFERROR(INDEX('Cadastro Mestre'!$Q$5:$Q$504,MATCH(C513,'Cadastro Mestre'!$A$5:$A$504,0)),""))</f>
        <v/>
      </c>
      <c r="F513" s="21"/>
      <c r="G513" s="21"/>
      <c r="H513" s="21"/>
      <c r="I513" s="21"/>
    </row>
    <row r="514" customFormat="false" ht="15" hidden="false" customHeight="false" outlineLevel="0" collapsed="false">
      <c r="A514" s="25"/>
      <c r="B514" s="21"/>
      <c r="C514" s="21"/>
      <c r="D514" s="26" t="str">
        <f aca="false">IF(C514="","",IFERROR(INDEX('Cadastro Mestre'!$C$5:$C$504,MATCH(C514,'Cadastro Mestre'!$A$5:$A$504,0)),"código não encontrado"))</f>
        <v/>
      </c>
      <c r="E514" s="24" t="str">
        <f aca="false">IF(C514="","",IFERROR(INDEX('Cadastro Mestre'!$Q$5:$Q$504,MATCH(C514,'Cadastro Mestre'!$A$5:$A$504,0)),""))</f>
        <v/>
      </c>
      <c r="F514" s="21"/>
      <c r="G514" s="21"/>
      <c r="H514" s="21"/>
      <c r="I514" s="21"/>
    </row>
    <row r="515" customFormat="false" ht="15" hidden="false" customHeight="false" outlineLevel="0" collapsed="false">
      <c r="A515" s="25"/>
      <c r="B515" s="21"/>
      <c r="C515" s="21"/>
      <c r="D515" s="26" t="str">
        <f aca="false">IF(C515="","",IFERROR(INDEX('Cadastro Mestre'!$C$5:$C$504,MATCH(C515,'Cadastro Mestre'!$A$5:$A$504,0)),"código não encontrado"))</f>
        <v/>
      </c>
      <c r="E515" s="24" t="str">
        <f aca="false">IF(C515="","",IFERROR(INDEX('Cadastro Mestre'!$Q$5:$Q$504,MATCH(C515,'Cadastro Mestre'!$A$5:$A$504,0)),""))</f>
        <v/>
      </c>
      <c r="F515" s="21"/>
      <c r="G515" s="21"/>
      <c r="H515" s="21"/>
      <c r="I515" s="21"/>
    </row>
    <row r="516" customFormat="false" ht="15" hidden="false" customHeight="false" outlineLevel="0" collapsed="false">
      <c r="A516" s="25"/>
      <c r="B516" s="21"/>
      <c r="C516" s="21"/>
      <c r="D516" s="26" t="str">
        <f aca="false">IF(C516="","",IFERROR(INDEX('Cadastro Mestre'!$C$5:$C$504,MATCH(C516,'Cadastro Mestre'!$A$5:$A$504,0)),"código não encontrado"))</f>
        <v/>
      </c>
      <c r="E516" s="24" t="str">
        <f aca="false">IF(C516="","",IFERROR(INDEX('Cadastro Mestre'!$Q$5:$Q$504,MATCH(C516,'Cadastro Mestre'!$A$5:$A$504,0)),""))</f>
        <v/>
      </c>
      <c r="F516" s="21"/>
      <c r="G516" s="21"/>
      <c r="H516" s="21"/>
      <c r="I516" s="21"/>
    </row>
    <row r="517" customFormat="false" ht="15" hidden="false" customHeight="false" outlineLevel="0" collapsed="false">
      <c r="A517" s="25"/>
      <c r="B517" s="21"/>
      <c r="C517" s="21"/>
      <c r="D517" s="26" t="str">
        <f aca="false">IF(C517="","",IFERROR(INDEX('Cadastro Mestre'!$C$5:$C$504,MATCH(C517,'Cadastro Mestre'!$A$5:$A$504,0)),"código não encontrado"))</f>
        <v/>
      </c>
      <c r="E517" s="24" t="str">
        <f aca="false">IF(C517="","",IFERROR(INDEX('Cadastro Mestre'!$Q$5:$Q$504,MATCH(C517,'Cadastro Mestre'!$A$5:$A$504,0)),""))</f>
        <v/>
      </c>
      <c r="F517" s="21"/>
      <c r="G517" s="21"/>
      <c r="H517" s="21"/>
      <c r="I517" s="21"/>
    </row>
    <row r="518" customFormat="false" ht="15" hidden="false" customHeight="false" outlineLevel="0" collapsed="false">
      <c r="A518" s="25"/>
      <c r="B518" s="21"/>
      <c r="C518" s="21"/>
      <c r="D518" s="26" t="str">
        <f aca="false">IF(C518="","",IFERROR(INDEX('Cadastro Mestre'!$C$5:$C$504,MATCH(C518,'Cadastro Mestre'!$A$5:$A$504,0)),"código não encontrado"))</f>
        <v/>
      </c>
      <c r="E518" s="24" t="str">
        <f aca="false">IF(C518="","",IFERROR(INDEX('Cadastro Mestre'!$Q$5:$Q$504,MATCH(C518,'Cadastro Mestre'!$A$5:$A$504,0)),""))</f>
        <v/>
      </c>
      <c r="F518" s="21"/>
      <c r="G518" s="21"/>
      <c r="H518" s="21"/>
      <c r="I518" s="21"/>
    </row>
    <row r="519" customFormat="false" ht="15" hidden="false" customHeight="false" outlineLevel="0" collapsed="false">
      <c r="A519" s="25"/>
      <c r="B519" s="21"/>
      <c r="C519" s="21"/>
      <c r="D519" s="26" t="str">
        <f aca="false">IF(C519="","",IFERROR(INDEX('Cadastro Mestre'!$C$5:$C$504,MATCH(C519,'Cadastro Mestre'!$A$5:$A$504,0)),"código não encontrado"))</f>
        <v/>
      </c>
      <c r="E519" s="24" t="str">
        <f aca="false">IF(C519="","",IFERROR(INDEX('Cadastro Mestre'!$Q$5:$Q$504,MATCH(C519,'Cadastro Mestre'!$A$5:$A$504,0)),""))</f>
        <v/>
      </c>
      <c r="F519" s="21"/>
      <c r="G519" s="21"/>
      <c r="H519" s="21"/>
      <c r="I519" s="21"/>
    </row>
    <row r="520" customFormat="false" ht="15" hidden="false" customHeight="false" outlineLevel="0" collapsed="false">
      <c r="A520" s="25"/>
      <c r="B520" s="21"/>
      <c r="C520" s="21"/>
      <c r="D520" s="26" t="str">
        <f aca="false">IF(C520="","",IFERROR(INDEX('Cadastro Mestre'!$C$5:$C$504,MATCH(C520,'Cadastro Mestre'!$A$5:$A$504,0)),"código não encontrado"))</f>
        <v/>
      </c>
      <c r="E520" s="24" t="str">
        <f aca="false">IF(C520="","",IFERROR(INDEX('Cadastro Mestre'!$Q$5:$Q$504,MATCH(C520,'Cadastro Mestre'!$A$5:$A$504,0)),""))</f>
        <v/>
      </c>
      <c r="F520" s="21"/>
      <c r="G520" s="21"/>
      <c r="H520" s="21"/>
      <c r="I520" s="21"/>
    </row>
    <row r="521" customFormat="false" ht="15" hidden="false" customHeight="false" outlineLevel="0" collapsed="false">
      <c r="A521" s="25"/>
      <c r="B521" s="21"/>
      <c r="C521" s="21"/>
      <c r="D521" s="26" t="str">
        <f aca="false">IF(C521="","",IFERROR(INDEX('Cadastro Mestre'!$C$5:$C$504,MATCH(C521,'Cadastro Mestre'!$A$5:$A$504,0)),"código não encontrado"))</f>
        <v/>
      </c>
      <c r="E521" s="24" t="str">
        <f aca="false">IF(C521="","",IFERROR(INDEX('Cadastro Mestre'!$Q$5:$Q$504,MATCH(C521,'Cadastro Mestre'!$A$5:$A$504,0)),""))</f>
        <v/>
      </c>
      <c r="F521" s="21"/>
      <c r="G521" s="21"/>
      <c r="H521" s="21"/>
      <c r="I521" s="21"/>
    </row>
    <row r="522" customFormat="false" ht="15" hidden="false" customHeight="false" outlineLevel="0" collapsed="false">
      <c r="A522" s="25"/>
      <c r="B522" s="21"/>
      <c r="C522" s="21"/>
      <c r="D522" s="26" t="str">
        <f aca="false">IF(C522="","",IFERROR(INDEX('Cadastro Mestre'!$C$5:$C$504,MATCH(C522,'Cadastro Mestre'!$A$5:$A$504,0)),"código não encontrado"))</f>
        <v/>
      </c>
      <c r="E522" s="24" t="str">
        <f aca="false">IF(C522="","",IFERROR(INDEX('Cadastro Mestre'!$Q$5:$Q$504,MATCH(C522,'Cadastro Mestre'!$A$5:$A$504,0)),""))</f>
        <v/>
      </c>
      <c r="F522" s="21"/>
      <c r="G522" s="21"/>
      <c r="H522" s="21"/>
      <c r="I522" s="21"/>
    </row>
    <row r="523" customFormat="false" ht="15" hidden="false" customHeight="false" outlineLevel="0" collapsed="false">
      <c r="A523" s="25"/>
      <c r="B523" s="21"/>
      <c r="C523" s="21"/>
      <c r="D523" s="26" t="str">
        <f aca="false">IF(C523="","",IFERROR(INDEX('Cadastro Mestre'!$C$5:$C$504,MATCH(C523,'Cadastro Mestre'!$A$5:$A$504,0)),"código não encontrado"))</f>
        <v/>
      </c>
      <c r="E523" s="24" t="str">
        <f aca="false">IF(C523="","",IFERROR(INDEX('Cadastro Mestre'!$Q$5:$Q$504,MATCH(C523,'Cadastro Mestre'!$A$5:$A$504,0)),""))</f>
        <v/>
      </c>
      <c r="F523" s="21"/>
      <c r="G523" s="21"/>
      <c r="H523" s="21"/>
      <c r="I523" s="21"/>
    </row>
    <row r="524" customFormat="false" ht="15" hidden="false" customHeight="false" outlineLevel="0" collapsed="false">
      <c r="A524" s="25"/>
      <c r="B524" s="21"/>
      <c r="C524" s="21"/>
      <c r="D524" s="26" t="str">
        <f aca="false">IF(C524="","",IFERROR(INDEX('Cadastro Mestre'!$C$5:$C$504,MATCH(C524,'Cadastro Mestre'!$A$5:$A$504,0)),"código não encontrado"))</f>
        <v/>
      </c>
      <c r="E524" s="24" t="str">
        <f aca="false">IF(C524="","",IFERROR(INDEX('Cadastro Mestre'!$Q$5:$Q$504,MATCH(C524,'Cadastro Mestre'!$A$5:$A$504,0)),""))</f>
        <v/>
      </c>
      <c r="F524" s="21"/>
      <c r="G524" s="21"/>
      <c r="H524" s="21"/>
      <c r="I524" s="21"/>
    </row>
    <row r="525" customFormat="false" ht="15" hidden="false" customHeight="false" outlineLevel="0" collapsed="false">
      <c r="A525" s="25"/>
      <c r="B525" s="21"/>
      <c r="C525" s="21"/>
      <c r="D525" s="26" t="str">
        <f aca="false">IF(C525="","",IFERROR(INDEX('Cadastro Mestre'!$C$5:$C$504,MATCH(C525,'Cadastro Mestre'!$A$5:$A$504,0)),"código não encontrado"))</f>
        <v/>
      </c>
      <c r="E525" s="24" t="str">
        <f aca="false">IF(C525="","",IFERROR(INDEX('Cadastro Mestre'!$Q$5:$Q$504,MATCH(C525,'Cadastro Mestre'!$A$5:$A$504,0)),""))</f>
        <v/>
      </c>
      <c r="F525" s="21"/>
      <c r="G525" s="21"/>
      <c r="H525" s="21"/>
      <c r="I525" s="21"/>
    </row>
    <row r="526" customFormat="false" ht="15" hidden="false" customHeight="false" outlineLevel="0" collapsed="false">
      <c r="A526" s="25"/>
      <c r="B526" s="21"/>
      <c r="C526" s="21"/>
      <c r="D526" s="26" t="str">
        <f aca="false">IF(C526="","",IFERROR(INDEX('Cadastro Mestre'!$C$5:$C$504,MATCH(C526,'Cadastro Mestre'!$A$5:$A$504,0)),"código não encontrado"))</f>
        <v/>
      </c>
      <c r="E526" s="24" t="str">
        <f aca="false">IF(C526="","",IFERROR(INDEX('Cadastro Mestre'!$Q$5:$Q$504,MATCH(C526,'Cadastro Mestre'!$A$5:$A$504,0)),""))</f>
        <v/>
      </c>
      <c r="F526" s="21"/>
      <c r="G526" s="21"/>
      <c r="H526" s="21"/>
      <c r="I526" s="21"/>
    </row>
    <row r="527" customFormat="false" ht="15" hidden="false" customHeight="false" outlineLevel="0" collapsed="false">
      <c r="A527" s="25"/>
      <c r="B527" s="21"/>
      <c r="C527" s="21"/>
      <c r="D527" s="26" t="str">
        <f aca="false">IF(C527="","",IFERROR(INDEX('Cadastro Mestre'!$C$5:$C$504,MATCH(C527,'Cadastro Mestre'!$A$5:$A$504,0)),"código não encontrado"))</f>
        <v/>
      </c>
      <c r="E527" s="24" t="str">
        <f aca="false">IF(C527="","",IFERROR(INDEX('Cadastro Mestre'!$Q$5:$Q$504,MATCH(C527,'Cadastro Mestre'!$A$5:$A$504,0)),""))</f>
        <v/>
      </c>
      <c r="F527" s="21"/>
      <c r="G527" s="21"/>
      <c r="H527" s="21"/>
      <c r="I527" s="21"/>
    </row>
    <row r="528" customFormat="false" ht="15" hidden="false" customHeight="false" outlineLevel="0" collapsed="false">
      <c r="A528" s="25"/>
      <c r="B528" s="21"/>
      <c r="C528" s="21"/>
      <c r="D528" s="26" t="str">
        <f aca="false">IF(C528="","",IFERROR(INDEX('Cadastro Mestre'!$C$5:$C$504,MATCH(C528,'Cadastro Mestre'!$A$5:$A$504,0)),"código não encontrado"))</f>
        <v/>
      </c>
      <c r="E528" s="24" t="str">
        <f aca="false">IF(C528="","",IFERROR(INDEX('Cadastro Mestre'!$Q$5:$Q$504,MATCH(C528,'Cadastro Mestre'!$A$5:$A$504,0)),""))</f>
        <v/>
      </c>
      <c r="F528" s="21"/>
      <c r="G528" s="21"/>
      <c r="H528" s="21"/>
      <c r="I528" s="21"/>
    </row>
    <row r="529" customFormat="false" ht="15" hidden="false" customHeight="false" outlineLevel="0" collapsed="false">
      <c r="A529" s="25"/>
      <c r="B529" s="21"/>
      <c r="C529" s="21"/>
      <c r="D529" s="26" t="str">
        <f aca="false">IF(C529="","",IFERROR(INDEX('Cadastro Mestre'!$C$5:$C$504,MATCH(C529,'Cadastro Mestre'!$A$5:$A$504,0)),"código não encontrado"))</f>
        <v/>
      </c>
      <c r="E529" s="24" t="str">
        <f aca="false">IF(C529="","",IFERROR(INDEX('Cadastro Mestre'!$Q$5:$Q$504,MATCH(C529,'Cadastro Mestre'!$A$5:$A$504,0)),""))</f>
        <v/>
      </c>
      <c r="F529" s="21"/>
      <c r="G529" s="21"/>
      <c r="H529" s="21"/>
      <c r="I529" s="21"/>
    </row>
    <row r="530" customFormat="false" ht="15" hidden="false" customHeight="false" outlineLevel="0" collapsed="false">
      <c r="A530" s="25"/>
      <c r="B530" s="21"/>
      <c r="C530" s="21"/>
      <c r="D530" s="26" t="str">
        <f aca="false">IF(C530="","",IFERROR(INDEX('Cadastro Mestre'!$C$5:$C$504,MATCH(C530,'Cadastro Mestre'!$A$5:$A$504,0)),"código não encontrado"))</f>
        <v/>
      </c>
      <c r="E530" s="24" t="str">
        <f aca="false">IF(C530="","",IFERROR(INDEX('Cadastro Mestre'!$Q$5:$Q$504,MATCH(C530,'Cadastro Mestre'!$A$5:$A$504,0)),""))</f>
        <v/>
      </c>
      <c r="F530" s="21"/>
      <c r="G530" s="21"/>
      <c r="H530" s="21"/>
      <c r="I530" s="21"/>
    </row>
    <row r="531" customFormat="false" ht="15" hidden="false" customHeight="false" outlineLevel="0" collapsed="false">
      <c r="A531" s="25"/>
      <c r="B531" s="21"/>
      <c r="C531" s="21"/>
      <c r="D531" s="26" t="str">
        <f aca="false">IF(C531="","",IFERROR(INDEX('Cadastro Mestre'!$C$5:$C$504,MATCH(C531,'Cadastro Mestre'!$A$5:$A$504,0)),"código não encontrado"))</f>
        <v/>
      </c>
      <c r="E531" s="24" t="str">
        <f aca="false">IF(C531="","",IFERROR(INDEX('Cadastro Mestre'!$Q$5:$Q$504,MATCH(C531,'Cadastro Mestre'!$A$5:$A$504,0)),""))</f>
        <v/>
      </c>
      <c r="F531" s="21"/>
      <c r="G531" s="21"/>
      <c r="H531" s="21"/>
      <c r="I531" s="21"/>
    </row>
    <row r="532" customFormat="false" ht="15" hidden="false" customHeight="false" outlineLevel="0" collapsed="false">
      <c r="A532" s="25"/>
      <c r="B532" s="21"/>
      <c r="C532" s="21"/>
      <c r="D532" s="26" t="str">
        <f aca="false">IF(C532="","",IFERROR(INDEX('Cadastro Mestre'!$C$5:$C$504,MATCH(C532,'Cadastro Mestre'!$A$5:$A$504,0)),"código não encontrado"))</f>
        <v/>
      </c>
      <c r="E532" s="24" t="str">
        <f aca="false">IF(C532="","",IFERROR(INDEX('Cadastro Mestre'!$Q$5:$Q$504,MATCH(C532,'Cadastro Mestre'!$A$5:$A$504,0)),""))</f>
        <v/>
      </c>
      <c r="F532" s="21"/>
      <c r="G532" s="21"/>
      <c r="H532" s="21"/>
      <c r="I532" s="21"/>
    </row>
    <row r="533" customFormat="false" ht="15" hidden="false" customHeight="false" outlineLevel="0" collapsed="false">
      <c r="A533" s="25"/>
      <c r="B533" s="21"/>
      <c r="C533" s="21"/>
      <c r="D533" s="26" t="str">
        <f aca="false">IF(C533="","",IFERROR(INDEX('Cadastro Mestre'!$C$5:$C$504,MATCH(C533,'Cadastro Mestre'!$A$5:$A$504,0)),"código não encontrado"))</f>
        <v/>
      </c>
      <c r="E533" s="24" t="str">
        <f aca="false">IF(C533="","",IFERROR(INDEX('Cadastro Mestre'!$Q$5:$Q$504,MATCH(C533,'Cadastro Mestre'!$A$5:$A$504,0)),""))</f>
        <v/>
      </c>
      <c r="F533" s="21"/>
      <c r="G533" s="21"/>
      <c r="H533" s="21"/>
      <c r="I533" s="21"/>
    </row>
    <row r="534" customFormat="false" ht="15" hidden="false" customHeight="false" outlineLevel="0" collapsed="false">
      <c r="A534" s="25"/>
      <c r="B534" s="21"/>
      <c r="C534" s="21"/>
      <c r="D534" s="26" t="str">
        <f aca="false">IF(C534="","",IFERROR(INDEX('Cadastro Mestre'!$C$5:$C$504,MATCH(C534,'Cadastro Mestre'!$A$5:$A$504,0)),"código não encontrado"))</f>
        <v/>
      </c>
      <c r="E534" s="24" t="str">
        <f aca="false">IF(C534="","",IFERROR(INDEX('Cadastro Mestre'!$Q$5:$Q$504,MATCH(C534,'Cadastro Mestre'!$A$5:$A$504,0)),""))</f>
        <v/>
      </c>
      <c r="F534" s="21"/>
      <c r="G534" s="21"/>
      <c r="H534" s="21"/>
      <c r="I534" s="21"/>
    </row>
    <row r="535" customFormat="false" ht="15" hidden="false" customHeight="false" outlineLevel="0" collapsed="false">
      <c r="A535" s="25"/>
      <c r="B535" s="21"/>
      <c r="C535" s="21"/>
      <c r="D535" s="26" t="str">
        <f aca="false">IF(C535="","",IFERROR(INDEX('Cadastro Mestre'!$C$5:$C$504,MATCH(C535,'Cadastro Mestre'!$A$5:$A$504,0)),"código não encontrado"))</f>
        <v/>
      </c>
      <c r="E535" s="24" t="str">
        <f aca="false">IF(C535="","",IFERROR(INDEX('Cadastro Mestre'!$Q$5:$Q$504,MATCH(C535,'Cadastro Mestre'!$A$5:$A$504,0)),""))</f>
        <v/>
      </c>
      <c r="F535" s="21"/>
      <c r="G535" s="21"/>
      <c r="H535" s="21"/>
      <c r="I535" s="21"/>
    </row>
    <row r="536" customFormat="false" ht="15" hidden="false" customHeight="false" outlineLevel="0" collapsed="false">
      <c r="A536" s="25"/>
      <c r="B536" s="21"/>
      <c r="C536" s="21"/>
      <c r="D536" s="26" t="str">
        <f aca="false">IF(C536="","",IFERROR(INDEX('Cadastro Mestre'!$C$5:$C$504,MATCH(C536,'Cadastro Mestre'!$A$5:$A$504,0)),"código não encontrado"))</f>
        <v/>
      </c>
      <c r="E536" s="24" t="str">
        <f aca="false">IF(C536="","",IFERROR(INDEX('Cadastro Mestre'!$Q$5:$Q$504,MATCH(C536,'Cadastro Mestre'!$A$5:$A$504,0)),""))</f>
        <v/>
      </c>
      <c r="F536" s="21"/>
      <c r="G536" s="21"/>
      <c r="H536" s="21"/>
      <c r="I536" s="21"/>
    </row>
    <row r="537" customFormat="false" ht="15" hidden="false" customHeight="false" outlineLevel="0" collapsed="false">
      <c r="A537" s="25"/>
      <c r="B537" s="21"/>
      <c r="C537" s="21"/>
      <c r="D537" s="26" t="str">
        <f aca="false">IF(C537="","",IFERROR(INDEX('Cadastro Mestre'!$C$5:$C$504,MATCH(C537,'Cadastro Mestre'!$A$5:$A$504,0)),"código não encontrado"))</f>
        <v/>
      </c>
      <c r="E537" s="24" t="str">
        <f aca="false">IF(C537="","",IFERROR(INDEX('Cadastro Mestre'!$Q$5:$Q$504,MATCH(C537,'Cadastro Mestre'!$A$5:$A$504,0)),""))</f>
        <v/>
      </c>
      <c r="F537" s="21"/>
      <c r="G537" s="21"/>
      <c r="H537" s="21"/>
      <c r="I537" s="21"/>
    </row>
    <row r="538" customFormat="false" ht="15" hidden="false" customHeight="false" outlineLevel="0" collapsed="false">
      <c r="A538" s="25"/>
      <c r="B538" s="21"/>
      <c r="C538" s="21"/>
      <c r="D538" s="26" t="str">
        <f aca="false">IF(C538="","",IFERROR(INDEX('Cadastro Mestre'!$C$5:$C$504,MATCH(C538,'Cadastro Mestre'!$A$5:$A$504,0)),"código não encontrado"))</f>
        <v/>
      </c>
      <c r="E538" s="24" t="str">
        <f aca="false">IF(C538="","",IFERROR(INDEX('Cadastro Mestre'!$Q$5:$Q$504,MATCH(C538,'Cadastro Mestre'!$A$5:$A$504,0)),""))</f>
        <v/>
      </c>
      <c r="F538" s="21"/>
      <c r="G538" s="21"/>
      <c r="H538" s="21"/>
      <c r="I538" s="21"/>
    </row>
    <row r="539" customFormat="false" ht="15" hidden="false" customHeight="false" outlineLevel="0" collapsed="false">
      <c r="A539" s="25"/>
      <c r="B539" s="21"/>
      <c r="C539" s="21"/>
      <c r="D539" s="26" t="str">
        <f aca="false">IF(C539="","",IFERROR(INDEX('Cadastro Mestre'!$C$5:$C$504,MATCH(C539,'Cadastro Mestre'!$A$5:$A$504,0)),"código não encontrado"))</f>
        <v/>
      </c>
      <c r="E539" s="24" t="str">
        <f aca="false">IF(C539="","",IFERROR(INDEX('Cadastro Mestre'!$Q$5:$Q$504,MATCH(C539,'Cadastro Mestre'!$A$5:$A$504,0)),""))</f>
        <v/>
      </c>
      <c r="F539" s="21"/>
      <c r="G539" s="21"/>
      <c r="H539" s="21"/>
      <c r="I539" s="21"/>
    </row>
    <row r="540" customFormat="false" ht="15" hidden="false" customHeight="false" outlineLevel="0" collapsed="false">
      <c r="A540" s="25"/>
      <c r="B540" s="21"/>
      <c r="C540" s="21"/>
      <c r="D540" s="26" t="str">
        <f aca="false">IF(C540="","",IFERROR(INDEX('Cadastro Mestre'!$C$5:$C$504,MATCH(C540,'Cadastro Mestre'!$A$5:$A$504,0)),"código não encontrado"))</f>
        <v/>
      </c>
      <c r="E540" s="24" t="str">
        <f aca="false">IF(C540="","",IFERROR(INDEX('Cadastro Mestre'!$Q$5:$Q$504,MATCH(C540,'Cadastro Mestre'!$A$5:$A$504,0)),""))</f>
        <v/>
      </c>
      <c r="F540" s="21"/>
      <c r="G540" s="21"/>
      <c r="H540" s="21"/>
      <c r="I540" s="21"/>
    </row>
    <row r="541" customFormat="false" ht="15" hidden="false" customHeight="false" outlineLevel="0" collapsed="false">
      <c r="A541" s="25"/>
      <c r="B541" s="21"/>
      <c r="C541" s="21"/>
      <c r="D541" s="26" t="str">
        <f aca="false">IF(C541="","",IFERROR(INDEX('Cadastro Mestre'!$C$5:$C$504,MATCH(C541,'Cadastro Mestre'!$A$5:$A$504,0)),"código não encontrado"))</f>
        <v/>
      </c>
      <c r="E541" s="24" t="str">
        <f aca="false">IF(C541="","",IFERROR(INDEX('Cadastro Mestre'!$Q$5:$Q$504,MATCH(C541,'Cadastro Mestre'!$A$5:$A$504,0)),""))</f>
        <v/>
      </c>
      <c r="F541" s="21"/>
      <c r="G541" s="21"/>
      <c r="H541" s="21"/>
      <c r="I541" s="21"/>
    </row>
    <row r="542" customFormat="false" ht="15" hidden="false" customHeight="false" outlineLevel="0" collapsed="false">
      <c r="A542" s="25"/>
      <c r="B542" s="21"/>
      <c r="C542" s="21"/>
      <c r="D542" s="26" t="str">
        <f aca="false">IF(C542="","",IFERROR(INDEX('Cadastro Mestre'!$C$5:$C$504,MATCH(C542,'Cadastro Mestre'!$A$5:$A$504,0)),"código não encontrado"))</f>
        <v/>
      </c>
      <c r="E542" s="24" t="str">
        <f aca="false">IF(C542="","",IFERROR(INDEX('Cadastro Mestre'!$Q$5:$Q$504,MATCH(C542,'Cadastro Mestre'!$A$5:$A$504,0)),""))</f>
        <v/>
      </c>
      <c r="F542" s="21"/>
      <c r="G542" s="21"/>
      <c r="H542" s="21"/>
      <c r="I542" s="21"/>
    </row>
    <row r="543" customFormat="false" ht="15" hidden="false" customHeight="false" outlineLevel="0" collapsed="false">
      <c r="A543" s="25"/>
      <c r="B543" s="21"/>
      <c r="C543" s="21"/>
      <c r="D543" s="26" t="str">
        <f aca="false">IF(C543="","",IFERROR(INDEX('Cadastro Mestre'!$C$5:$C$504,MATCH(C543,'Cadastro Mestre'!$A$5:$A$504,0)),"código não encontrado"))</f>
        <v/>
      </c>
      <c r="E543" s="24" t="str">
        <f aca="false">IF(C543="","",IFERROR(INDEX('Cadastro Mestre'!$Q$5:$Q$504,MATCH(C543,'Cadastro Mestre'!$A$5:$A$504,0)),""))</f>
        <v/>
      </c>
      <c r="F543" s="21"/>
      <c r="G543" s="21"/>
      <c r="H543" s="21"/>
      <c r="I543" s="21"/>
    </row>
    <row r="544" customFormat="false" ht="15" hidden="false" customHeight="false" outlineLevel="0" collapsed="false">
      <c r="A544" s="25"/>
      <c r="B544" s="21"/>
      <c r="C544" s="21"/>
      <c r="D544" s="26" t="str">
        <f aca="false">IF(C544="","",IFERROR(INDEX('Cadastro Mestre'!$C$5:$C$504,MATCH(C544,'Cadastro Mestre'!$A$5:$A$504,0)),"código não encontrado"))</f>
        <v/>
      </c>
      <c r="E544" s="24" t="str">
        <f aca="false">IF(C544="","",IFERROR(INDEX('Cadastro Mestre'!$Q$5:$Q$504,MATCH(C544,'Cadastro Mestre'!$A$5:$A$504,0)),""))</f>
        <v/>
      </c>
      <c r="F544" s="21"/>
      <c r="G544" s="21"/>
      <c r="H544" s="21"/>
      <c r="I544" s="21"/>
    </row>
    <row r="545" customFormat="false" ht="15" hidden="false" customHeight="false" outlineLevel="0" collapsed="false">
      <c r="A545" s="25"/>
      <c r="B545" s="21"/>
      <c r="C545" s="21"/>
      <c r="D545" s="26" t="str">
        <f aca="false">IF(C545="","",IFERROR(INDEX('Cadastro Mestre'!$C$5:$C$504,MATCH(C545,'Cadastro Mestre'!$A$5:$A$504,0)),"código não encontrado"))</f>
        <v/>
      </c>
      <c r="E545" s="24" t="str">
        <f aca="false">IF(C545="","",IFERROR(INDEX('Cadastro Mestre'!$Q$5:$Q$504,MATCH(C545,'Cadastro Mestre'!$A$5:$A$504,0)),""))</f>
        <v/>
      </c>
      <c r="F545" s="21"/>
      <c r="G545" s="21"/>
      <c r="H545" s="21"/>
      <c r="I545" s="21"/>
    </row>
    <row r="546" customFormat="false" ht="15" hidden="false" customHeight="false" outlineLevel="0" collapsed="false">
      <c r="A546" s="25"/>
      <c r="B546" s="21"/>
      <c r="C546" s="21"/>
      <c r="D546" s="26" t="str">
        <f aca="false">IF(C546="","",IFERROR(INDEX('Cadastro Mestre'!$C$5:$C$504,MATCH(C546,'Cadastro Mestre'!$A$5:$A$504,0)),"código não encontrado"))</f>
        <v/>
      </c>
      <c r="E546" s="24" t="str">
        <f aca="false">IF(C546="","",IFERROR(INDEX('Cadastro Mestre'!$Q$5:$Q$504,MATCH(C546,'Cadastro Mestre'!$A$5:$A$504,0)),""))</f>
        <v/>
      </c>
      <c r="F546" s="21"/>
      <c r="G546" s="21"/>
      <c r="H546" s="21"/>
      <c r="I546" s="21"/>
    </row>
    <row r="547" customFormat="false" ht="15" hidden="false" customHeight="false" outlineLevel="0" collapsed="false">
      <c r="A547" s="25"/>
      <c r="B547" s="21"/>
      <c r="C547" s="21"/>
      <c r="D547" s="26" t="str">
        <f aca="false">IF(C547="","",IFERROR(INDEX('Cadastro Mestre'!$C$5:$C$504,MATCH(C547,'Cadastro Mestre'!$A$5:$A$504,0)),"código não encontrado"))</f>
        <v/>
      </c>
      <c r="E547" s="24" t="str">
        <f aca="false">IF(C547="","",IFERROR(INDEX('Cadastro Mestre'!$Q$5:$Q$504,MATCH(C547,'Cadastro Mestre'!$A$5:$A$504,0)),""))</f>
        <v/>
      </c>
      <c r="F547" s="21"/>
      <c r="G547" s="21"/>
      <c r="H547" s="21"/>
      <c r="I547" s="21"/>
    </row>
    <row r="548" customFormat="false" ht="15" hidden="false" customHeight="false" outlineLevel="0" collapsed="false">
      <c r="A548" s="25"/>
      <c r="B548" s="21"/>
      <c r="C548" s="21"/>
      <c r="D548" s="26" t="str">
        <f aca="false">IF(C548="","",IFERROR(INDEX('Cadastro Mestre'!$C$5:$C$504,MATCH(C548,'Cadastro Mestre'!$A$5:$A$504,0)),"código não encontrado"))</f>
        <v/>
      </c>
      <c r="E548" s="24" t="str">
        <f aca="false">IF(C548="","",IFERROR(INDEX('Cadastro Mestre'!$Q$5:$Q$504,MATCH(C548,'Cadastro Mestre'!$A$5:$A$504,0)),""))</f>
        <v/>
      </c>
      <c r="F548" s="21"/>
      <c r="G548" s="21"/>
      <c r="H548" s="21"/>
      <c r="I548" s="21"/>
    </row>
    <row r="549" customFormat="false" ht="15" hidden="false" customHeight="false" outlineLevel="0" collapsed="false">
      <c r="A549" s="25"/>
      <c r="B549" s="21"/>
      <c r="C549" s="21"/>
      <c r="D549" s="26" t="str">
        <f aca="false">IF(C549="","",IFERROR(INDEX('Cadastro Mestre'!$C$5:$C$504,MATCH(C549,'Cadastro Mestre'!$A$5:$A$504,0)),"código não encontrado"))</f>
        <v/>
      </c>
      <c r="E549" s="24" t="str">
        <f aca="false">IF(C549="","",IFERROR(INDEX('Cadastro Mestre'!$Q$5:$Q$504,MATCH(C549,'Cadastro Mestre'!$A$5:$A$504,0)),""))</f>
        <v/>
      </c>
      <c r="F549" s="21"/>
      <c r="G549" s="21"/>
      <c r="H549" s="21"/>
      <c r="I549" s="21"/>
    </row>
    <row r="550" customFormat="false" ht="15" hidden="false" customHeight="false" outlineLevel="0" collapsed="false">
      <c r="A550" s="25"/>
      <c r="B550" s="21"/>
      <c r="C550" s="21"/>
      <c r="D550" s="26" t="str">
        <f aca="false">IF(C550="","",IFERROR(INDEX('Cadastro Mestre'!$C$5:$C$504,MATCH(C550,'Cadastro Mestre'!$A$5:$A$504,0)),"código não encontrado"))</f>
        <v/>
      </c>
      <c r="E550" s="24" t="str">
        <f aca="false">IF(C550="","",IFERROR(INDEX('Cadastro Mestre'!$Q$5:$Q$504,MATCH(C550,'Cadastro Mestre'!$A$5:$A$504,0)),""))</f>
        <v/>
      </c>
      <c r="F550" s="21"/>
      <c r="G550" s="21"/>
      <c r="H550" s="21"/>
      <c r="I550" s="21"/>
    </row>
    <row r="551" customFormat="false" ht="15" hidden="false" customHeight="false" outlineLevel="0" collapsed="false">
      <c r="A551" s="25"/>
      <c r="B551" s="21"/>
      <c r="C551" s="21"/>
      <c r="D551" s="26" t="str">
        <f aca="false">IF(C551="","",IFERROR(INDEX('Cadastro Mestre'!$C$5:$C$504,MATCH(C551,'Cadastro Mestre'!$A$5:$A$504,0)),"código não encontrado"))</f>
        <v/>
      </c>
      <c r="E551" s="24" t="str">
        <f aca="false">IF(C551="","",IFERROR(INDEX('Cadastro Mestre'!$Q$5:$Q$504,MATCH(C551,'Cadastro Mestre'!$A$5:$A$504,0)),""))</f>
        <v/>
      </c>
      <c r="F551" s="21"/>
      <c r="G551" s="21"/>
      <c r="H551" s="21"/>
      <c r="I551" s="21"/>
    </row>
    <row r="552" customFormat="false" ht="15" hidden="false" customHeight="false" outlineLevel="0" collapsed="false">
      <c r="A552" s="25"/>
      <c r="B552" s="21"/>
      <c r="C552" s="21"/>
      <c r="D552" s="26" t="str">
        <f aca="false">IF(C552="","",IFERROR(INDEX('Cadastro Mestre'!$C$5:$C$504,MATCH(C552,'Cadastro Mestre'!$A$5:$A$504,0)),"código não encontrado"))</f>
        <v/>
      </c>
      <c r="E552" s="24" t="str">
        <f aca="false">IF(C552="","",IFERROR(INDEX('Cadastro Mestre'!$Q$5:$Q$504,MATCH(C552,'Cadastro Mestre'!$A$5:$A$504,0)),""))</f>
        <v/>
      </c>
      <c r="F552" s="21"/>
      <c r="G552" s="21"/>
      <c r="H552" s="21"/>
      <c r="I552" s="21"/>
    </row>
    <row r="553" customFormat="false" ht="15" hidden="false" customHeight="false" outlineLevel="0" collapsed="false">
      <c r="A553" s="25"/>
      <c r="B553" s="21"/>
      <c r="C553" s="21"/>
      <c r="D553" s="26" t="str">
        <f aca="false">IF(C553="","",IFERROR(INDEX('Cadastro Mestre'!$C$5:$C$504,MATCH(C553,'Cadastro Mestre'!$A$5:$A$504,0)),"código não encontrado"))</f>
        <v/>
      </c>
      <c r="E553" s="24" t="str">
        <f aca="false">IF(C553="","",IFERROR(INDEX('Cadastro Mestre'!$Q$5:$Q$504,MATCH(C553,'Cadastro Mestre'!$A$5:$A$504,0)),""))</f>
        <v/>
      </c>
      <c r="F553" s="21"/>
      <c r="G553" s="21"/>
      <c r="H553" s="21"/>
      <c r="I553" s="21"/>
    </row>
    <row r="554" customFormat="false" ht="15" hidden="false" customHeight="false" outlineLevel="0" collapsed="false">
      <c r="A554" s="25"/>
      <c r="B554" s="21"/>
      <c r="C554" s="21"/>
      <c r="D554" s="26" t="str">
        <f aca="false">IF(C554="","",IFERROR(INDEX('Cadastro Mestre'!$C$5:$C$504,MATCH(C554,'Cadastro Mestre'!$A$5:$A$504,0)),"código não encontrado"))</f>
        <v/>
      </c>
      <c r="E554" s="24" t="str">
        <f aca="false">IF(C554="","",IFERROR(INDEX('Cadastro Mestre'!$Q$5:$Q$504,MATCH(C554,'Cadastro Mestre'!$A$5:$A$504,0)),""))</f>
        <v/>
      </c>
      <c r="F554" s="21"/>
      <c r="G554" s="21"/>
      <c r="H554" s="21"/>
      <c r="I554" s="21"/>
    </row>
    <row r="555" customFormat="false" ht="15" hidden="false" customHeight="false" outlineLevel="0" collapsed="false">
      <c r="A555" s="25"/>
      <c r="B555" s="21"/>
      <c r="C555" s="21"/>
      <c r="D555" s="26" t="str">
        <f aca="false">IF(C555="","",IFERROR(INDEX('Cadastro Mestre'!$C$5:$C$504,MATCH(C555,'Cadastro Mestre'!$A$5:$A$504,0)),"código não encontrado"))</f>
        <v/>
      </c>
      <c r="E555" s="24" t="str">
        <f aca="false">IF(C555="","",IFERROR(INDEX('Cadastro Mestre'!$Q$5:$Q$504,MATCH(C555,'Cadastro Mestre'!$A$5:$A$504,0)),""))</f>
        <v/>
      </c>
      <c r="F555" s="21"/>
      <c r="G555" s="21"/>
      <c r="H555" s="21"/>
      <c r="I555" s="21"/>
    </row>
    <row r="556" customFormat="false" ht="15" hidden="false" customHeight="false" outlineLevel="0" collapsed="false">
      <c r="A556" s="25"/>
      <c r="B556" s="21"/>
      <c r="C556" s="21"/>
      <c r="D556" s="26" t="str">
        <f aca="false">IF(C556="","",IFERROR(INDEX('Cadastro Mestre'!$C$5:$C$504,MATCH(C556,'Cadastro Mestre'!$A$5:$A$504,0)),"código não encontrado"))</f>
        <v/>
      </c>
      <c r="E556" s="24" t="str">
        <f aca="false">IF(C556="","",IFERROR(INDEX('Cadastro Mestre'!$Q$5:$Q$504,MATCH(C556,'Cadastro Mestre'!$A$5:$A$504,0)),""))</f>
        <v/>
      </c>
      <c r="F556" s="21"/>
      <c r="G556" s="21"/>
      <c r="H556" s="21"/>
      <c r="I556" s="21"/>
    </row>
    <row r="557" customFormat="false" ht="15" hidden="false" customHeight="false" outlineLevel="0" collapsed="false">
      <c r="A557" s="25"/>
      <c r="B557" s="21"/>
      <c r="C557" s="21"/>
      <c r="D557" s="26" t="str">
        <f aca="false">IF(C557="","",IFERROR(INDEX('Cadastro Mestre'!$C$5:$C$504,MATCH(C557,'Cadastro Mestre'!$A$5:$A$504,0)),"código não encontrado"))</f>
        <v/>
      </c>
      <c r="E557" s="24" t="str">
        <f aca="false">IF(C557="","",IFERROR(INDEX('Cadastro Mestre'!$Q$5:$Q$504,MATCH(C557,'Cadastro Mestre'!$A$5:$A$504,0)),""))</f>
        <v/>
      </c>
      <c r="F557" s="21"/>
      <c r="G557" s="21"/>
      <c r="H557" s="21"/>
      <c r="I557" s="21"/>
    </row>
    <row r="558" customFormat="false" ht="15" hidden="false" customHeight="false" outlineLevel="0" collapsed="false">
      <c r="A558" s="25"/>
      <c r="B558" s="21"/>
      <c r="C558" s="21"/>
      <c r="D558" s="26" t="str">
        <f aca="false">IF(C558="","",IFERROR(INDEX('Cadastro Mestre'!$C$5:$C$504,MATCH(C558,'Cadastro Mestre'!$A$5:$A$504,0)),"código não encontrado"))</f>
        <v/>
      </c>
      <c r="E558" s="24" t="str">
        <f aca="false">IF(C558="","",IFERROR(INDEX('Cadastro Mestre'!$Q$5:$Q$504,MATCH(C558,'Cadastro Mestre'!$A$5:$A$504,0)),""))</f>
        <v/>
      </c>
      <c r="F558" s="21"/>
      <c r="G558" s="21"/>
      <c r="H558" s="21"/>
      <c r="I558" s="21"/>
    </row>
    <row r="559" customFormat="false" ht="15" hidden="false" customHeight="false" outlineLevel="0" collapsed="false">
      <c r="A559" s="25"/>
      <c r="B559" s="21"/>
      <c r="C559" s="21"/>
      <c r="D559" s="26" t="str">
        <f aca="false">IF(C559="","",IFERROR(INDEX('Cadastro Mestre'!$C$5:$C$504,MATCH(C559,'Cadastro Mestre'!$A$5:$A$504,0)),"código não encontrado"))</f>
        <v/>
      </c>
      <c r="E559" s="24" t="str">
        <f aca="false">IF(C559="","",IFERROR(INDEX('Cadastro Mestre'!$Q$5:$Q$504,MATCH(C559,'Cadastro Mestre'!$A$5:$A$504,0)),""))</f>
        <v/>
      </c>
      <c r="F559" s="21"/>
      <c r="G559" s="21"/>
      <c r="H559" s="21"/>
      <c r="I559" s="21"/>
    </row>
    <row r="560" customFormat="false" ht="15" hidden="false" customHeight="false" outlineLevel="0" collapsed="false">
      <c r="A560" s="25"/>
      <c r="B560" s="21"/>
      <c r="C560" s="21"/>
      <c r="D560" s="26" t="str">
        <f aca="false">IF(C560="","",IFERROR(INDEX('Cadastro Mestre'!$C$5:$C$504,MATCH(C560,'Cadastro Mestre'!$A$5:$A$504,0)),"código não encontrado"))</f>
        <v/>
      </c>
      <c r="E560" s="24" t="str">
        <f aca="false">IF(C560="","",IFERROR(INDEX('Cadastro Mestre'!$Q$5:$Q$504,MATCH(C560,'Cadastro Mestre'!$A$5:$A$504,0)),""))</f>
        <v/>
      </c>
      <c r="F560" s="21"/>
      <c r="G560" s="21"/>
      <c r="H560" s="21"/>
      <c r="I560" s="21"/>
    </row>
    <row r="561" customFormat="false" ht="15" hidden="false" customHeight="false" outlineLevel="0" collapsed="false">
      <c r="A561" s="25"/>
      <c r="B561" s="21"/>
      <c r="C561" s="21"/>
      <c r="D561" s="26" t="str">
        <f aca="false">IF(C561="","",IFERROR(INDEX('Cadastro Mestre'!$C$5:$C$504,MATCH(C561,'Cadastro Mestre'!$A$5:$A$504,0)),"código não encontrado"))</f>
        <v/>
      </c>
      <c r="E561" s="24" t="str">
        <f aca="false">IF(C561="","",IFERROR(INDEX('Cadastro Mestre'!$Q$5:$Q$504,MATCH(C561,'Cadastro Mestre'!$A$5:$A$504,0)),""))</f>
        <v/>
      </c>
      <c r="F561" s="21"/>
      <c r="G561" s="21"/>
      <c r="H561" s="21"/>
      <c r="I561" s="21"/>
    </row>
    <row r="562" customFormat="false" ht="15" hidden="false" customHeight="false" outlineLevel="0" collapsed="false">
      <c r="A562" s="25"/>
      <c r="B562" s="21"/>
      <c r="C562" s="21"/>
      <c r="D562" s="26" t="str">
        <f aca="false">IF(C562="","",IFERROR(INDEX('Cadastro Mestre'!$C$5:$C$504,MATCH(C562,'Cadastro Mestre'!$A$5:$A$504,0)),"código não encontrado"))</f>
        <v/>
      </c>
      <c r="E562" s="24" t="str">
        <f aca="false">IF(C562="","",IFERROR(INDEX('Cadastro Mestre'!$Q$5:$Q$504,MATCH(C562,'Cadastro Mestre'!$A$5:$A$504,0)),""))</f>
        <v/>
      </c>
      <c r="F562" s="21"/>
      <c r="G562" s="21"/>
      <c r="H562" s="21"/>
      <c r="I562" s="21"/>
    </row>
    <row r="563" customFormat="false" ht="15" hidden="false" customHeight="false" outlineLevel="0" collapsed="false">
      <c r="A563" s="25"/>
      <c r="B563" s="21"/>
      <c r="C563" s="21"/>
      <c r="D563" s="26" t="str">
        <f aca="false">IF(C563="","",IFERROR(INDEX('Cadastro Mestre'!$C$5:$C$504,MATCH(C563,'Cadastro Mestre'!$A$5:$A$504,0)),"código não encontrado"))</f>
        <v/>
      </c>
      <c r="E563" s="24" t="str">
        <f aca="false">IF(C563="","",IFERROR(INDEX('Cadastro Mestre'!$Q$5:$Q$504,MATCH(C563,'Cadastro Mestre'!$A$5:$A$504,0)),""))</f>
        <v/>
      </c>
      <c r="F563" s="21"/>
      <c r="G563" s="21"/>
      <c r="H563" s="21"/>
      <c r="I563" s="21"/>
    </row>
    <row r="564" customFormat="false" ht="15" hidden="false" customHeight="false" outlineLevel="0" collapsed="false">
      <c r="A564" s="25"/>
      <c r="B564" s="21"/>
      <c r="C564" s="21"/>
      <c r="D564" s="26" t="str">
        <f aca="false">IF(C564="","",IFERROR(INDEX('Cadastro Mestre'!$C$5:$C$504,MATCH(C564,'Cadastro Mestre'!$A$5:$A$504,0)),"código não encontrado"))</f>
        <v/>
      </c>
      <c r="E564" s="24" t="str">
        <f aca="false">IF(C564="","",IFERROR(INDEX('Cadastro Mestre'!$Q$5:$Q$504,MATCH(C564,'Cadastro Mestre'!$A$5:$A$504,0)),""))</f>
        <v/>
      </c>
      <c r="F564" s="21"/>
      <c r="G564" s="21"/>
      <c r="H564" s="21"/>
      <c r="I564" s="21"/>
    </row>
    <row r="565" customFormat="false" ht="15" hidden="false" customHeight="false" outlineLevel="0" collapsed="false">
      <c r="A565" s="25"/>
      <c r="B565" s="21"/>
      <c r="C565" s="21"/>
      <c r="D565" s="26" t="str">
        <f aca="false">IF(C565="","",IFERROR(INDEX('Cadastro Mestre'!$C$5:$C$504,MATCH(C565,'Cadastro Mestre'!$A$5:$A$504,0)),"código não encontrado"))</f>
        <v/>
      </c>
      <c r="E565" s="24" t="str">
        <f aca="false">IF(C565="","",IFERROR(INDEX('Cadastro Mestre'!$Q$5:$Q$504,MATCH(C565,'Cadastro Mestre'!$A$5:$A$504,0)),""))</f>
        <v/>
      </c>
      <c r="F565" s="21"/>
      <c r="G565" s="21"/>
      <c r="H565" s="21"/>
      <c r="I565" s="21"/>
    </row>
    <row r="566" customFormat="false" ht="15" hidden="false" customHeight="false" outlineLevel="0" collapsed="false">
      <c r="A566" s="25"/>
      <c r="B566" s="21"/>
      <c r="C566" s="21"/>
      <c r="D566" s="26" t="str">
        <f aca="false">IF(C566="","",IFERROR(INDEX('Cadastro Mestre'!$C$5:$C$504,MATCH(C566,'Cadastro Mestre'!$A$5:$A$504,0)),"código não encontrado"))</f>
        <v/>
      </c>
      <c r="E566" s="24" t="str">
        <f aca="false">IF(C566="","",IFERROR(INDEX('Cadastro Mestre'!$Q$5:$Q$504,MATCH(C566,'Cadastro Mestre'!$A$5:$A$504,0)),""))</f>
        <v/>
      </c>
      <c r="F566" s="21"/>
      <c r="G566" s="21"/>
      <c r="H566" s="21"/>
      <c r="I566" s="21"/>
    </row>
    <row r="567" customFormat="false" ht="15" hidden="false" customHeight="false" outlineLevel="0" collapsed="false">
      <c r="A567" s="25"/>
      <c r="B567" s="21"/>
      <c r="C567" s="21"/>
      <c r="D567" s="26" t="str">
        <f aca="false">IF(C567="","",IFERROR(INDEX('Cadastro Mestre'!$C$5:$C$504,MATCH(C567,'Cadastro Mestre'!$A$5:$A$504,0)),"código não encontrado"))</f>
        <v/>
      </c>
      <c r="E567" s="24" t="str">
        <f aca="false">IF(C567="","",IFERROR(INDEX('Cadastro Mestre'!$Q$5:$Q$504,MATCH(C567,'Cadastro Mestre'!$A$5:$A$504,0)),""))</f>
        <v/>
      </c>
      <c r="F567" s="21"/>
      <c r="G567" s="21"/>
      <c r="H567" s="21"/>
      <c r="I567" s="21"/>
    </row>
    <row r="568" customFormat="false" ht="15" hidden="false" customHeight="false" outlineLevel="0" collapsed="false">
      <c r="A568" s="25"/>
      <c r="B568" s="21"/>
      <c r="C568" s="21"/>
      <c r="D568" s="26" t="str">
        <f aca="false">IF(C568="","",IFERROR(INDEX('Cadastro Mestre'!$C$5:$C$504,MATCH(C568,'Cadastro Mestre'!$A$5:$A$504,0)),"código não encontrado"))</f>
        <v/>
      </c>
      <c r="E568" s="24" t="str">
        <f aca="false">IF(C568="","",IFERROR(INDEX('Cadastro Mestre'!$Q$5:$Q$504,MATCH(C568,'Cadastro Mestre'!$A$5:$A$504,0)),""))</f>
        <v/>
      </c>
      <c r="F568" s="21"/>
      <c r="G568" s="21"/>
      <c r="H568" s="21"/>
      <c r="I568" s="21"/>
    </row>
    <row r="569" customFormat="false" ht="15" hidden="false" customHeight="false" outlineLevel="0" collapsed="false">
      <c r="A569" s="25"/>
      <c r="B569" s="21"/>
      <c r="C569" s="21"/>
      <c r="D569" s="26" t="str">
        <f aca="false">IF(C569="","",IFERROR(INDEX('Cadastro Mestre'!$C$5:$C$504,MATCH(C569,'Cadastro Mestre'!$A$5:$A$504,0)),"código não encontrado"))</f>
        <v/>
      </c>
      <c r="E569" s="24" t="str">
        <f aca="false">IF(C569="","",IFERROR(INDEX('Cadastro Mestre'!$Q$5:$Q$504,MATCH(C569,'Cadastro Mestre'!$A$5:$A$504,0)),""))</f>
        <v/>
      </c>
      <c r="F569" s="21"/>
      <c r="G569" s="21"/>
      <c r="H569" s="21"/>
      <c r="I569" s="21"/>
    </row>
    <row r="570" customFormat="false" ht="15" hidden="false" customHeight="false" outlineLevel="0" collapsed="false">
      <c r="A570" s="25"/>
      <c r="B570" s="21"/>
      <c r="C570" s="21"/>
      <c r="D570" s="26" t="str">
        <f aca="false">IF(C570="","",IFERROR(INDEX('Cadastro Mestre'!$C$5:$C$504,MATCH(C570,'Cadastro Mestre'!$A$5:$A$504,0)),"código não encontrado"))</f>
        <v/>
      </c>
      <c r="E570" s="24" t="str">
        <f aca="false">IF(C570="","",IFERROR(INDEX('Cadastro Mestre'!$Q$5:$Q$504,MATCH(C570,'Cadastro Mestre'!$A$5:$A$504,0)),""))</f>
        <v/>
      </c>
      <c r="F570" s="21"/>
      <c r="G570" s="21"/>
      <c r="H570" s="21"/>
      <c r="I570" s="21"/>
    </row>
    <row r="571" customFormat="false" ht="15" hidden="false" customHeight="false" outlineLevel="0" collapsed="false">
      <c r="A571" s="25"/>
      <c r="B571" s="21"/>
      <c r="C571" s="21"/>
      <c r="D571" s="26" t="str">
        <f aca="false">IF(C571="","",IFERROR(INDEX('Cadastro Mestre'!$C$5:$C$504,MATCH(C571,'Cadastro Mestre'!$A$5:$A$504,0)),"código não encontrado"))</f>
        <v/>
      </c>
      <c r="E571" s="24" t="str">
        <f aca="false">IF(C571="","",IFERROR(INDEX('Cadastro Mestre'!$Q$5:$Q$504,MATCH(C571,'Cadastro Mestre'!$A$5:$A$504,0)),""))</f>
        <v/>
      </c>
      <c r="F571" s="21"/>
      <c r="G571" s="21"/>
      <c r="H571" s="21"/>
      <c r="I571" s="21"/>
    </row>
    <row r="572" customFormat="false" ht="15" hidden="false" customHeight="false" outlineLevel="0" collapsed="false">
      <c r="A572" s="25"/>
      <c r="B572" s="21"/>
      <c r="C572" s="21"/>
      <c r="D572" s="26" t="str">
        <f aca="false">IF(C572="","",IFERROR(INDEX('Cadastro Mestre'!$C$5:$C$504,MATCH(C572,'Cadastro Mestre'!$A$5:$A$504,0)),"código não encontrado"))</f>
        <v/>
      </c>
      <c r="E572" s="24" t="str">
        <f aca="false">IF(C572="","",IFERROR(INDEX('Cadastro Mestre'!$Q$5:$Q$504,MATCH(C572,'Cadastro Mestre'!$A$5:$A$504,0)),""))</f>
        <v/>
      </c>
      <c r="F572" s="21"/>
      <c r="G572" s="21"/>
      <c r="H572" s="21"/>
      <c r="I572" s="21"/>
    </row>
    <row r="573" customFormat="false" ht="15" hidden="false" customHeight="false" outlineLevel="0" collapsed="false">
      <c r="A573" s="25"/>
      <c r="B573" s="21"/>
      <c r="C573" s="21"/>
      <c r="D573" s="26" t="str">
        <f aca="false">IF(C573="","",IFERROR(INDEX('Cadastro Mestre'!$C$5:$C$504,MATCH(C573,'Cadastro Mestre'!$A$5:$A$504,0)),"código não encontrado"))</f>
        <v/>
      </c>
      <c r="E573" s="24" t="str">
        <f aca="false">IF(C573="","",IFERROR(INDEX('Cadastro Mestre'!$Q$5:$Q$504,MATCH(C573,'Cadastro Mestre'!$A$5:$A$504,0)),""))</f>
        <v/>
      </c>
      <c r="F573" s="21"/>
      <c r="G573" s="21"/>
      <c r="H573" s="21"/>
      <c r="I573" s="21"/>
    </row>
    <row r="574" customFormat="false" ht="15" hidden="false" customHeight="false" outlineLevel="0" collapsed="false">
      <c r="A574" s="25"/>
      <c r="B574" s="21"/>
      <c r="C574" s="21"/>
      <c r="D574" s="26" t="str">
        <f aca="false">IF(C574="","",IFERROR(INDEX('Cadastro Mestre'!$C$5:$C$504,MATCH(C574,'Cadastro Mestre'!$A$5:$A$504,0)),"código não encontrado"))</f>
        <v/>
      </c>
      <c r="E574" s="24" t="str">
        <f aca="false">IF(C574="","",IFERROR(INDEX('Cadastro Mestre'!$Q$5:$Q$504,MATCH(C574,'Cadastro Mestre'!$A$5:$A$504,0)),""))</f>
        <v/>
      </c>
      <c r="F574" s="21"/>
      <c r="G574" s="21"/>
      <c r="H574" s="21"/>
      <c r="I574" s="21"/>
    </row>
    <row r="575" customFormat="false" ht="15" hidden="false" customHeight="false" outlineLevel="0" collapsed="false">
      <c r="A575" s="25"/>
      <c r="B575" s="21"/>
      <c r="C575" s="21"/>
      <c r="D575" s="26" t="str">
        <f aca="false">IF(C575="","",IFERROR(INDEX('Cadastro Mestre'!$C$5:$C$504,MATCH(C575,'Cadastro Mestre'!$A$5:$A$504,0)),"código não encontrado"))</f>
        <v/>
      </c>
      <c r="E575" s="24" t="str">
        <f aca="false">IF(C575="","",IFERROR(INDEX('Cadastro Mestre'!$Q$5:$Q$504,MATCH(C575,'Cadastro Mestre'!$A$5:$A$504,0)),""))</f>
        <v/>
      </c>
      <c r="F575" s="21"/>
      <c r="G575" s="21"/>
      <c r="H575" s="21"/>
      <c r="I575" s="21"/>
    </row>
    <row r="576" customFormat="false" ht="15" hidden="false" customHeight="false" outlineLevel="0" collapsed="false">
      <c r="A576" s="25"/>
      <c r="B576" s="21"/>
      <c r="C576" s="21"/>
      <c r="D576" s="26" t="str">
        <f aca="false">IF(C576="","",IFERROR(INDEX('Cadastro Mestre'!$C$5:$C$504,MATCH(C576,'Cadastro Mestre'!$A$5:$A$504,0)),"código não encontrado"))</f>
        <v/>
      </c>
      <c r="E576" s="24" t="str">
        <f aca="false">IF(C576="","",IFERROR(INDEX('Cadastro Mestre'!$Q$5:$Q$504,MATCH(C576,'Cadastro Mestre'!$A$5:$A$504,0)),""))</f>
        <v/>
      </c>
      <c r="F576" s="21"/>
      <c r="G576" s="21"/>
      <c r="H576" s="21"/>
      <c r="I576" s="21"/>
    </row>
    <row r="577" customFormat="false" ht="15" hidden="false" customHeight="false" outlineLevel="0" collapsed="false">
      <c r="A577" s="25"/>
      <c r="B577" s="21"/>
      <c r="C577" s="21"/>
      <c r="D577" s="26" t="str">
        <f aca="false">IF(C577="","",IFERROR(INDEX('Cadastro Mestre'!$C$5:$C$504,MATCH(C577,'Cadastro Mestre'!$A$5:$A$504,0)),"código não encontrado"))</f>
        <v/>
      </c>
      <c r="E577" s="24" t="str">
        <f aca="false">IF(C577="","",IFERROR(INDEX('Cadastro Mestre'!$Q$5:$Q$504,MATCH(C577,'Cadastro Mestre'!$A$5:$A$504,0)),""))</f>
        <v/>
      </c>
      <c r="F577" s="21"/>
      <c r="G577" s="21"/>
      <c r="H577" s="21"/>
      <c r="I577" s="21"/>
    </row>
    <row r="578" customFormat="false" ht="15" hidden="false" customHeight="false" outlineLevel="0" collapsed="false">
      <c r="A578" s="25"/>
      <c r="B578" s="21"/>
      <c r="C578" s="21"/>
      <c r="D578" s="26" t="str">
        <f aca="false">IF(C578="","",IFERROR(INDEX('Cadastro Mestre'!$C$5:$C$504,MATCH(C578,'Cadastro Mestre'!$A$5:$A$504,0)),"código não encontrado"))</f>
        <v/>
      </c>
      <c r="E578" s="24" t="str">
        <f aca="false">IF(C578="","",IFERROR(INDEX('Cadastro Mestre'!$Q$5:$Q$504,MATCH(C578,'Cadastro Mestre'!$A$5:$A$504,0)),""))</f>
        <v/>
      </c>
      <c r="F578" s="21"/>
      <c r="G578" s="21"/>
      <c r="H578" s="21"/>
      <c r="I578" s="21"/>
    </row>
    <row r="579" customFormat="false" ht="15" hidden="false" customHeight="false" outlineLevel="0" collapsed="false">
      <c r="A579" s="25"/>
      <c r="B579" s="21"/>
      <c r="C579" s="21"/>
      <c r="D579" s="26" t="str">
        <f aca="false">IF(C579="","",IFERROR(INDEX('Cadastro Mestre'!$C$5:$C$504,MATCH(C579,'Cadastro Mestre'!$A$5:$A$504,0)),"código não encontrado"))</f>
        <v/>
      </c>
      <c r="E579" s="24" t="str">
        <f aca="false">IF(C579="","",IFERROR(INDEX('Cadastro Mestre'!$Q$5:$Q$504,MATCH(C579,'Cadastro Mestre'!$A$5:$A$504,0)),""))</f>
        <v/>
      </c>
      <c r="F579" s="21"/>
      <c r="G579" s="21"/>
      <c r="H579" s="21"/>
      <c r="I579" s="21"/>
    </row>
    <row r="580" customFormat="false" ht="15" hidden="false" customHeight="false" outlineLevel="0" collapsed="false">
      <c r="A580" s="25"/>
      <c r="B580" s="21"/>
      <c r="C580" s="21"/>
      <c r="D580" s="26" t="str">
        <f aca="false">IF(C580="","",IFERROR(INDEX('Cadastro Mestre'!$C$5:$C$504,MATCH(C580,'Cadastro Mestre'!$A$5:$A$504,0)),"código não encontrado"))</f>
        <v/>
      </c>
      <c r="E580" s="24" t="str">
        <f aca="false">IF(C580="","",IFERROR(INDEX('Cadastro Mestre'!$Q$5:$Q$504,MATCH(C580,'Cadastro Mestre'!$A$5:$A$504,0)),""))</f>
        <v/>
      </c>
      <c r="F580" s="21"/>
      <c r="G580" s="21"/>
      <c r="H580" s="21"/>
      <c r="I580" s="21"/>
    </row>
    <row r="581" customFormat="false" ht="15" hidden="false" customHeight="false" outlineLevel="0" collapsed="false">
      <c r="A581" s="25"/>
      <c r="B581" s="21"/>
      <c r="C581" s="21"/>
      <c r="D581" s="26" t="str">
        <f aca="false">IF(C581="","",IFERROR(INDEX('Cadastro Mestre'!$C$5:$C$504,MATCH(C581,'Cadastro Mestre'!$A$5:$A$504,0)),"código não encontrado"))</f>
        <v/>
      </c>
      <c r="E581" s="24" t="str">
        <f aca="false">IF(C581="","",IFERROR(INDEX('Cadastro Mestre'!$Q$5:$Q$504,MATCH(C581,'Cadastro Mestre'!$A$5:$A$504,0)),""))</f>
        <v/>
      </c>
      <c r="F581" s="21"/>
      <c r="G581" s="21"/>
      <c r="H581" s="21"/>
      <c r="I581" s="21"/>
    </row>
    <row r="582" customFormat="false" ht="15" hidden="false" customHeight="false" outlineLevel="0" collapsed="false">
      <c r="A582" s="25"/>
      <c r="B582" s="21"/>
      <c r="C582" s="21"/>
      <c r="D582" s="26" t="str">
        <f aca="false">IF(C582="","",IFERROR(INDEX('Cadastro Mestre'!$C$5:$C$504,MATCH(C582,'Cadastro Mestre'!$A$5:$A$504,0)),"código não encontrado"))</f>
        <v/>
      </c>
      <c r="E582" s="24" t="str">
        <f aca="false">IF(C582="","",IFERROR(INDEX('Cadastro Mestre'!$Q$5:$Q$504,MATCH(C582,'Cadastro Mestre'!$A$5:$A$504,0)),""))</f>
        <v/>
      </c>
      <c r="F582" s="21"/>
      <c r="G582" s="21"/>
      <c r="H582" s="21"/>
      <c r="I582" s="21"/>
    </row>
    <row r="583" customFormat="false" ht="15" hidden="false" customHeight="false" outlineLevel="0" collapsed="false">
      <c r="A583" s="25"/>
      <c r="B583" s="21"/>
      <c r="C583" s="21"/>
      <c r="D583" s="26" t="str">
        <f aca="false">IF(C583="","",IFERROR(INDEX('Cadastro Mestre'!$C$5:$C$504,MATCH(C583,'Cadastro Mestre'!$A$5:$A$504,0)),"código não encontrado"))</f>
        <v/>
      </c>
      <c r="E583" s="24" t="str">
        <f aca="false">IF(C583="","",IFERROR(INDEX('Cadastro Mestre'!$Q$5:$Q$504,MATCH(C583,'Cadastro Mestre'!$A$5:$A$504,0)),""))</f>
        <v/>
      </c>
      <c r="F583" s="21"/>
      <c r="G583" s="21"/>
      <c r="H583" s="21"/>
      <c r="I583" s="21"/>
    </row>
    <row r="584" customFormat="false" ht="15" hidden="false" customHeight="false" outlineLevel="0" collapsed="false">
      <c r="A584" s="25"/>
      <c r="B584" s="21"/>
      <c r="C584" s="21"/>
      <c r="D584" s="26" t="str">
        <f aca="false">IF(C584="","",IFERROR(INDEX('Cadastro Mestre'!$C$5:$C$504,MATCH(C584,'Cadastro Mestre'!$A$5:$A$504,0)),"código não encontrado"))</f>
        <v/>
      </c>
      <c r="E584" s="24" t="str">
        <f aca="false">IF(C584="","",IFERROR(INDEX('Cadastro Mestre'!$Q$5:$Q$504,MATCH(C584,'Cadastro Mestre'!$A$5:$A$504,0)),""))</f>
        <v/>
      </c>
      <c r="F584" s="21"/>
      <c r="G584" s="21"/>
      <c r="H584" s="21"/>
      <c r="I584" s="21"/>
    </row>
    <row r="585" customFormat="false" ht="15" hidden="false" customHeight="false" outlineLevel="0" collapsed="false">
      <c r="A585" s="25"/>
      <c r="B585" s="21"/>
      <c r="C585" s="21"/>
      <c r="D585" s="26" t="str">
        <f aca="false">IF(C585="","",IFERROR(INDEX('Cadastro Mestre'!$C$5:$C$504,MATCH(C585,'Cadastro Mestre'!$A$5:$A$504,0)),"código não encontrado"))</f>
        <v/>
      </c>
      <c r="E585" s="24" t="str">
        <f aca="false">IF(C585="","",IFERROR(INDEX('Cadastro Mestre'!$Q$5:$Q$504,MATCH(C585,'Cadastro Mestre'!$A$5:$A$504,0)),""))</f>
        <v/>
      </c>
      <c r="F585" s="21"/>
      <c r="G585" s="21"/>
      <c r="H585" s="21"/>
      <c r="I585" s="21"/>
    </row>
    <row r="586" customFormat="false" ht="15" hidden="false" customHeight="false" outlineLevel="0" collapsed="false">
      <c r="A586" s="25"/>
      <c r="B586" s="21"/>
      <c r="C586" s="21"/>
      <c r="D586" s="26" t="str">
        <f aca="false">IF(C586="","",IFERROR(INDEX('Cadastro Mestre'!$C$5:$C$504,MATCH(C586,'Cadastro Mestre'!$A$5:$A$504,0)),"código não encontrado"))</f>
        <v/>
      </c>
      <c r="E586" s="24" t="str">
        <f aca="false">IF(C586="","",IFERROR(INDEX('Cadastro Mestre'!$Q$5:$Q$504,MATCH(C586,'Cadastro Mestre'!$A$5:$A$504,0)),""))</f>
        <v/>
      </c>
      <c r="F586" s="21"/>
      <c r="G586" s="21"/>
      <c r="H586" s="21"/>
      <c r="I586" s="21"/>
    </row>
    <row r="587" customFormat="false" ht="15" hidden="false" customHeight="false" outlineLevel="0" collapsed="false">
      <c r="A587" s="25"/>
      <c r="B587" s="21"/>
      <c r="C587" s="21"/>
      <c r="D587" s="26" t="str">
        <f aca="false">IF(C587="","",IFERROR(INDEX('Cadastro Mestre'!$C$5:$C$504,MATCH(C587,'Cadastro Mestre'!$A$5:$A$504,0)),"código não encontrado"))</f>
        <v/>
      </c>
      <c r="E587" s="24" t="str">
        <f aca="false">IF(C587="","",IFERROR(INDEX('Cadastro Mestre'!$Q$5:$Q$504,MATCH(C587,'Cadastro Mestre'!$A$5:$A$504,0)),""))</f>
        <v/>
      </c>
      <c r="F587" s="21"/>
      <c r="G587" s="21"/>
      <c r="H587" s="21"/>
      <c r="I587" s="21"/>
    </row>
    <row r="588" customFormat="false" ht="15" hidden="false" customHeight="false" outlineLevel="0" collapsed="false">
      <c r="A588" s="25"/>
      <c r="B588" s="21"/>
      <c r="C588" s="21"/>
      <c r="D588" s="26" t="str">
        <f aca="false">IF(C588="","",IFERROR(INDEX('Cadastro Mestre'!$C$5:$C$504,MATCH(C588,'Cadastro Mestre'!$A$5:$A$504,0)),"código não encontrado"))</f>
        <v/>
      </c>
      <c r="E588" s="24" t="str">
        <f aca="false">IF(C588="","",IFERROR(INDEX('Cadastro Mestre'!$Q$5:$Q$504,MATCH(C588,'Cadastro Mestre'!$A$5:$A$504,0)),""))</f>
        <v/>
      </c>
      <c r="F588" s="21"/>
      <c r="G588" s="21"/>
      <c r="H588" s="21"/>
      <c r="I588" s="21"/>
    </row>
    <row r="589" customFormat="false" ht="15" hidden="false" customHeight="false" outlineLevel="0" collapsed="false">
      <c r="A589" s="25"/>
      <c r="B589" s="21"/>
      <c r="C589" s="21"/>
      <c r="D589" s="26" t="str">
        <f aca="false">IF(C589="","",IFERROR(INDEX('Cadastro Mestre'!$C$5:$C$504,MATCH(C589,'Cadastro Mestre'!$A$5:$A$504,0)),"código não encontrado"))</f>
        <v/>
      </c>
      <c r="E589" s="24" t="str">
        <f aca="false">IF(C589="","",IFERROR(INDEX('Cadastro Mestre'!$Q$5:$Q$504,MATCH(C589,'Cadastro Mestre'!$A$5:$A$504,0)),""))</f>
        <v/>
      </c>
      <c r="F589" s="21"/>
      <c r="G589" s="21"/>
      <c r="H589" s="21"/>
      <c r="I589" s="21"/>
    </row>
    <row r="590" customFormat="false" ht="15" hidden="false" customHeight="false" outlineLevel="0" collapsed="false">
      <c r="A590" s="25"/>
      <c r="B590" s="21"/>
      <c r="C590" s="21"/>
      <c r="D590" s="26" t="str">
        <f aca="false">IF(C590="","",IFERROR(INDEX('Cadastro Mestre'!$C$5:$C$504,MATCH(C590,'Cadastro Mestre'!$A$5:$A$504,0)),"código não encontrado"))</f>
        <v/>
      </c>
      <c r="E590" s="24" t="str">
        <f aca="false">IF(C590="","",IFERROR(INDEX('Cadastro Mestre'!$Q$5:$Q$504,MATCH(C590,'Cadastro Mestre'!$A$5:$A$504,0)),""))</f>
        <v/>
      </c>
      <c r="F590" s="21"/>
      <c r="G590" s="21"/>
      <c r="H590" s="21"/>
      <c r="I590" s="21"/>
    </row>
    <row r="591" customFormat="false" ht="15" hidden="false" customHeight="false" outlineLevel="0" collapsed="false">
      <c r="A591" s="25"/>
      <c r="B591" s="21"/>
      <c r="C591" s="21"/>
      <c r="D591" s="26" t="str">
        <f aca="false">IF(C591="","",IFERROR(INDEX('Cadastro Mestre'!$C$5:$C$504,MATCH(C591,'Cadastro Mestre'!$A$5:$A$504,0)),"código não encontrado"))</f>
        <v/>
      </c>
      <c r="E591" s="24" t="str">
        <f aca="false">IF(C591="","",IFERROR(INDEX('Cadastro Mestre'!$Q$5:$Q$504,MATCH(C591,'Cadastro Mestre'!$A$5:$A$504,0)),""))</f>
        <v/>
      </c>
      <c r="F591" s="21"/>
      <c r="G591" s="21"/>
      <c r="H591" s="21"/>
      <c r="I591" s="21"/>
    </row>
    <row r="592" customFormat="false" ht="15" hidden="false" customHeight="false" outlineLevel="0" collapsed="false">
      <c r="A592" s="25"/>
      <c r="B592" s="21"/>
      <c r="C592" s="21"/>
      <c r="D592" s="26" t="str">
        <f aca="false">IF(C592="","",IFERROR(INDEX('Cadastro Mestre'!$C$5:$C$504,MATCH(C592,'Cadastro Mestre'!$A$5:$A$504,0)),"código não encontrado"))</f>
        <v/>
      </c>
      <c r="E592" s="24" t="str">
        <f aca="false">IF(C592="","",IFERROR(INDEX('Cadastro Mestre'!$Q$5:$Q$504,MATCH(C592,'Cadastro Mestre'!$A$5:$A$504,0)),""))</f>
        <v/>
      </c>
      <c r="F592" s="21"/>
      <c r="G592" s="21"/>
      <c r="H592" s="21"/>
      <c r="I592" s="21"/>
    </row>
    <row r="593" customFormat="false" ht="15" hidden="false" customHeight="false" outlineLevel="0" collapsed="false">
      <c r="A593" s="25"/>
      <c r="B593" s="21"/>
      <c r="C593" s="21"/>
      <c r="D593" s="26" t="str">
        <f aca="false">IF(C593="","",IFERROR(INDEX('Cadastro Mestre'!$C$5:$C$504,MATCH(C593,'Cadastro Mestre'!$A$5:$A$504,0)),"código não encontrado"))</f>
        <v/>
      </c>
      <c r="E593" s="24" t="str">
        <f aca="false">IF(C593="","",IFERROR(INDEX('Cadastro Mestre'!$Q$5:$Q$504,MATCH(C593,'Cadastro Mestre'!$A$5:$A$504,0)),""))</f>
        <v/>
      </c>
      <c r="F593" s="21"/>
      <c r="G593" s="21"/>
      <c r="H593" s="21"/>
      <c r="I593" s="21"/>
    </row>
    <row r="594" customFormat="false" ht="15" hidden="false" customHeight="false" outlineLevel="0" collapsed="false">
      <c r="A594" s="25"/>
      <c r="B594" s="21"/>
      <c r="C594" s="21"/>
      <c r="D594" s="26" t="str">
        <f aca="false">IF(C594="","",IFERROR(INDEX('Cadastro Mestre'!$C$5:$C$504,MATCH(C594,'Cadastro Mestre'!$A$5:$A$504,0)),"código não encontrado"))</f>
        <v/>
      </c>
      <c r="E594" s="24" t="str">
        <f aca="false">IF(C594="","",IFERROR(INDEX('Cadastro Mestre'!$Q$5:$Q$504,MATCH(C594,'Cadastro Mestre'!$A$5:$A$504,0)),""))</f>
        <v/>
      </c>
      <c r="F594" s="21"/>
      <c r="G594" s="21"/>
      <c r="H594" s="21"/>
      <c r="I594" s="21"/>
    </row>
    <row r="595" customFormat="false" ht="15" hidden="false" customHeight="false" outlineLevel="0" collapsed="false">
      <c r="A595" s="25"/>
      <c r="B595" s="21"/>
      <c r="C595" s="21"/>
      <c r="D595" s="26" t="str">
        <f aca="false">IF(C595="","",IFERROR(INDEX('Cadastro Mestre'!$C$5:$C$504,MATCH(C595,'Cadastro Mestre'!$A$5:$A$504,0)),"código não encontrado"))</f>
        <v/>
      </c>
      <c r="E595" s="24" t="str">
        <f aca="false">IF(C595="","",IFERROR(INDEX('Cadastro Mestre'!$Q$5:$Q$504,MATCH(C595,'Cadastro Mestre'!$A$5:$A$504,0)),""))</f>
        <v/>
      </c>
      <c r="F595" s="21"/>
      <c r="G595" s="21"/>
      <c r="H595" s="21"/>
      <c r="I595" s="21"/>
    </row>
    <row r="596" customFormat="false" ht="15" hidden="false" customHeight="false" outlineLevel="0" collapsed="false">
      <c r="A596" s="25"/>
      <c r="B596" s="21"/>
      <c r="C596" s="21"/>
      <c r="D596" s="26" t="str">
        <f aca="false">IF(C596="","",IFERROR(INDEX('Cadastro Mestre'!$C$5:$C$504,MATCH(C596,'Cadastro Mestre'!$A$5:$A$504,0)),"código não encontrado"))</f>
        <v/>
      </c>
      <c r="E596" s="24" t="str">
        <f aca="false">IF(C596="","",IFERROR(INDEX('Cadastro Mestre'!$Q$5:$Q$504,MATCH(C596,'Cadastro Mestre'!$A$5:$A$504,0)),""))</f>
        <v/>
      </c>
      <c r="F596" s="21"/>
      <c r="G596" s="21"/>
      <c r="H596" s="21"/>
      <c r="I596" s="21"/>
    </row>
    <row r="597" customFormat="false" ht="15" hidden="false" customHeight="false" outlineLevel="0" collapsed="false">
      <c r="A597" s="25"/>
      <c r="B597" s="21"/>
      <c r="C597" s="21"/>
      <c r="D597" s="26" t="str">
        <f aca="false">IF(C597="","",IFERROR(INDEX('Cadastro Mestre'!$C$5:$C$504,MATCH(C597,'Cadastro Mestre'!$A$5:$A$504,0)),"código não encontrado"))</f>
        <v/>
      </c>
      <c r="E597" s="24" t="str">
        <f aca="false">IF(C597="","",IFERROR(INDEX('Cadastro Mestre'!$Q$5:$Q$504,MATCH(C597,'Cadastro Mestre'!$A$5:$A$504,0)),""))</f>
        <v/>
      </c>
      <c r="F597" s="21"/>
      <c r="G597" s="21"/>
      <c r="H597" s="21"/>
      <c r="I597" s="21"/>
    </row>
    <row r="598" customFormat="false" ht="15" hidden="false" customHeight="false" outlineLevel="0" collapsed="false">
      <c r="A598" s="25"/>
      <c r="B598" s="21"/>
      <c r="C598" s="21"/>
      <c r="D598" s="26" t="str">
        <f aca="false">IF(C598="","",IFERROR(INDEX('Cadastro Mestre'!$C$5:$C$504,MATCH(C598,'Cadastro Mestre'!$A$5:$A$504,0)),"código não encontrado"))</f>
        <v/>
      </c>
      <c r="E598" s="24" t="str">
        <f aca="false">IF(C598="","",IFERROR(INDEX('Cadastro Mestre'!$Q$5:$Q$504,MATCH(C598,'Cadastro Mestre'!$A$5:$A$504,0)),""))</f>
        <v/>
      </c>
      <c r="F598" s="21"/>
      <c r="G598" s="21"/>
      <c r="H598" s="21"/>
      <c r="I598" s="21"/>
    </row>
    <row r="599" customFormat="false" ht="15" hidden="false" customHeight="false" outlineLevel="0" collapsed="false">
      <c r="A599" s="25"/>
      <c r="B599" s="21"/>
      <c r="C599" s="21"/>
      <c r="D599" s="26" t="str">
        <f aca="false">IF(C599="","",IFERROR(INDEX('Cadastro Mestre'!$C$5:$C$504,MATCH(C599,'Cadastro Mestre'!$A$5:$A$504,0)),"código não encontrado"))</f>
        <v/>
      </c>
      <c r="E599" s="24" t="str">
        <f aca="false">IF(C599="","",IFERROR(INDEX('Cadastro Mestre'!$Q$5:$Q$504,MATCH(C599,'Cadastro Mestre'!$A$5:$A$504,0)),""))</f>
        <v/>
      </c>
      <c r="F599" s="21"/>
      <c r="G599" s="21"/>
      <c r="H599" s="21"/>
      <c r="I599" s="21"/>
    </row>
    <row r="600" customFormat="false" ht="15" hidden="false" customHeight="false" outlineLevel="0" collapsed="false">
      <c r="A600" s="25"/>
      <c r="B600" s="21"/>
      <c r="C600" s="21"/>
      <c r="D600" s="26" t="str">
        <f aca="false">IF(C600="","",IFERROR(INDEX('Cadastro Mestre'!$C$5:$C$504,MATCH(C600,'Cadastro Mestre'!$A$5:$A$504,0)),"código não encontrado"))</f>
        <v/>
      </c>
      <c r="E600" s="24" t="str">
        <f aca="false">IF(C600="","",IFERROR(INDEX('Cadastro Mestre'!$Q$5:$Q$504,MATCH(C600,'Cadastro Mestre'!$A$5:$A$504,0)),""))</f>
        <v/>
      </c>
      <c r="F600" s="21"/>
      <c r="G600" s="21"/>
      <c r="H600" s="21"/>
      <c r="I600" s="21"/>
    </row>
    <row r="601" customFormat="false" ht="15" hidden="false" customHeight="false" outlineLevel="0" collapsed="false">
      <c r="A601" s="25"/>
      <c r="B601" s="21"/>
      <c r="C601" s="21"/>
      <c r="D601" s="26" t="str">
        <f aca="false">IF(C601="","",IFERROR(INDEX('Cadastro Mestre'!$C$5:$C$504,MATCH(C601,'Cadastro Mestre'!$A$5:$A$504,0)),"código não encontrado"))</f>
        <v/>
      </c>
      <c r="E601" s="24" t="str">
        <f aca="false">IF(C601="","",IFERROR(INDEX('Cadastro Mestre'!$Q$5:$Q$504,MATCH(C601,'Cadastro Mestre'!$A$5:$A$504,0)),""))</f>
        <v/>
      </c>
      <c r="F601" s="21"/>
      <c r="G601" s="21"/>
      <c r="H601" s="21"/>
      <c r="I601" s="21"/>
    </row>
    <row r="602" customFormat="false" ht="15" hidden="false" customHeight="false" outlineLevel="0" collapsed="false">
      <c r="A602" s="25"/>
      <c r="B602" s="21"/>
      <c r="C602" s="21"/>
      <c r="D602" s="26" t="str">
        <f aca="false">IF(C602="","",IFERROR(INDEX('Cadastro Mestre'!$C$5:$C$504,MATCH(C602,'Cadastro Mestre'!$A$5:$A$504,0)),"código não encontrado"))</f>
        <v/>
      </c>
      <c r="E602" s="24" t="str">
        <f aca="false">IF(C602="","",IFERROR(INDEX('Cadastro Mestre'!$Q$5:$Q$504,MATCH(C602,'Cadastro Mestre'!$A$5:$A$504,0)),""))</f>
        <v/>
      </c>
      <c r="F602" s="21"/>
      <c r="G602" s="21"/>
      <c r="H602" s="21"/>
      <c r="I602" s="21"/>
    </row>
    <row r="603" customFormat="false" ht="15" hidden="false" customHeight="false" outlineLevel="0" collapsed="false">
      <c r="A603" s="25"/>
      <c r="B603" s="21"/>
      <c r="C603" s="21"/>
      <c r="D603" s="26" t="str">
        <f aca="false">IF(C603="","",IFERROR(INDEX('Cadastro Mestre'!$C$5:$C$504,MATCH(C603,'Cadastro Mestre'!$A$5:$A$504,0)),"código não encontrado"))</f>
        <v/>
      </c>
      <c r="E603" s="24" t="str">
        <f aca="false">IF(C603="","",IFERROR(INDEX('Cadastro Mestre'!$Q$5:$Q$504,MATCH(C603,'Cadastro Mestre'!$A$5:$A$504,0)),""))</f>
        <v/>
      </c>
      <c r="F603" s="21"/>
      <c r="G603" s="21"/>
      <c r="H603" s="21"/>
      <c r="I603" s="21"/>
    </row>
    <row r="604" customFormat="false" ht="15" hidden="false" customHeight="false" outlineLevel="0" collapsed="false">
      <c r="A604" s="25"/>
      <c r="B604" s="21"/>
      <c r="C604" s="21"/>
      <c r="D604" s="26" t="str">
        <f aca="false">IF(C604="","",IFERROR(INDEX('Cadastro Mestre'!$C$5:$C$504,MATCH(C604,'Cadastro Mestre'!$A$5:$A$504,0)),"código não encontrado"))</f>
        <v/>
      </c>
      <c r="E604" s="24" t="str">
        <f aca="false">IF(C604="","",IFERROR(INDEX('Cadastro Mestre'!$Q$5:$Q$504,MATCH(C604,'Cadastro Mestre'!$A$5:$A$504,0)),""))</f>
        <v/>
      </c>
      <c r="F604" s="21"/>
      <c r="G604" s="21"/>
      <c r="H604" s="21"/>
      <c r="I604" s="21"/>
    </row>
    <row r="605" customFormat="false" ht="15" hidden="false" customHeight="false" outlineLevel="0" collapsed="false">
      <c r="A605" s="25"/>
      <c r="B605" s="21"/>
      <c r="C605" s="21"/>
      <c r="D605" s="26" t="str">
        <f aca="false">IF(C605="","",IFERROR(INDEX('Cadastro Mestre'!$C$5:$C$504,MATCH(C605,'Cadastro Mestre'!$A$5:$A$504,0)),"código não encontrado"))</f>
        <v/>
      </c>
      <c r="E605" s="24" t="str">
        <f aca="false">IF(C605="","",IFERROR(INDEX('Cadastro Mestre'!$Q$5:$Q$504,MATCH(C605,'Cadastro Mestre'!$A$5:$A$504,0)),""))</f>
        <v/>
      </c>
      <c r="F605" s="21"/>
      <c r="G605" s="21"/>
      <c r="H605" s="21"/>
      <c r="I605" s="21"/>
    </row>
    <row r="606" customFormat="false" ht="15" hidden="false" customHeight="false" outlineLevel="0" collapsed="false">
      <c r="A606" s="25"/>
      <c r="B606" s="21"/>
      <c r="C606" s="21"/>
      <c r="D606" s="26" t="str">
        <f aca="false">IF(C606="","",IFERROR(INDEX('Cadastro Mestre'!$C$5:$C$504,MATCH(C606,'Cadastro Mestre'!$A$5:$A$504,0)),"código não encontrado"))</f>
        <v/>
      </c>
      <c r="E606" s="24" t="str">
        <f aca="false">IF(C606="","",IFERROR(INDEX('Cadastro Mestre'!$Q$5:$Q$504,MATCH(C606,'Cadastro Mestre'!$A$5:$A$504,0)),""))</f>
        <v/>
      </c>
      <c r="F606" s="21"/>
      <c r="G606" s="21"/>
      <c r="H606" s="21"/>
      <c r="I606" s="21"/>
    </row>
    <row r="607" customFormat="false" ht="15" hidden="false" customHeight="false" outlineLevel="0" collapsed="false">
      <c r="A607" s="25"/>
      <c r="B607" s="21"/>
      <c r="C607" s="21"/>
      <c r="D607" s="26" t="str">
        <f aca="false">IF(C607="","",IFERROR(INDEX('Cadastro Mestre'!$C$5:$C$504,MATCH(C607,'Cadastro Mestre'!$A$5:$A$504,0)),"código não encontrado"))</f>
        <v/>
      </c>
      <c r="E607" s="24" t="str">
        <f aca="false">IF(C607="","",IFERROR(INDEX('Cadastro Mestre'!$Q$5:$Q$504,MATCH(C607,'Cadastro Mestre'!$A$5:$A$504,0)),""))</f>
        <v/>
      </c>
      <c r="F607" s="21"/>
      <c r="G607" s="21"/>
      <c r="H607" s="21"/>
      <c r="I607" s="21"/>
    </row>
    <row r="608" customFormat="false" ht="15" hidden="false" customHeight="false" outlineLevel="0" collapsed="false">
      <c r="A608" s="25"/>
      <c r="B608" s="21"/>
      <c r="C608" s="21"/>
      <c r="D608" s="26" t="str">
        <f aca="false">IF(C608="","",IFERROR(INDEX('Cadastro Mestre'!$C$5:$C$504,MATCH(C608,'Cadastro Mestre'!$A$5:$A$504,0)),"código não encontrado"))</f>
        <v/>
      </c>
      <c r="E608" s="24" t="str">
        <f aca="false">IF(C608="","",IFERROR(INDEX('Cadastro Mestre'!$Q$5:$Q$504,MATCH(C608,'Cadastro Mestre'!$A$5:$A$504,0)),""))</f>
        <v/>
      </c>
      <c r="F608" s="21"/>
      <c r="G608" s="21"/>
      <c r="H608" s="21"/>
      <c r="I608" s="21"/>
    </row>
    <row r="609" customFormat="false" ht="15" hidden="false" customHeight="false" outlineLevel="0" collapsed="false">
      <c r="A609" s="25"/>
      <c r="B609" s="21"/>
      <c r="C609" s="21"/>
      <c r="D609" s="26" t="str">
        <f aca="false">IF(C609="","",IFERROR(INDEX('Cadastro Mestre'!$C$5:$C$504,MATCH(C609,'Cadastro Mestre'!$A$5:$A$504,0)),"código não encontrado"))</f>
        <v/>
      </c>
      <c r="E609" s="24" t="str">
        <f aca="false">IF(C609="","",IFERROR(INDEX('Cadastro Mestre'!$Q$5:$Q$504,MATCH(C609,'Cadastro Mestre'!$A$5:$A$504,0)),""))</f>
        <v/>
      </c>
      <c r="F609" s="21"/>
      <c r="G609" s="21"/>
      <c r="H609" s="21"/>
      <c r="I609" s="21"/>
    </row>
    <row r="610" customFormat="false" ht="15" hidden="false" customHeight="false" outlineLevel="0" collapsed="false">
      <c r="A610" s="25"/>
      <c r="B610" s="21"/>
      <c r="C610" s="21"/>
      <c r="D610" s="26" t="str">
        <f aca="false">IF(C610="","",IFERROR(INDEX('Cadastro Mestre'!$C$5:$C$504,MATCH(C610,'Cadastro Mestre'!$A$5:$A$504,0)),"código não encontrado"))</f>
        <v/>
      </c>
      <c r="E610" s="24" t="str">
        <f aca="false">IF(C610="","",IFERROR(INDEX('Cadastro Mestre'!$Q$5:$Q$504,MATCH(C610,'Cadastro Mestre'!$A$5:$A$504,0)),""))</f>
        <v/>
      </c>
      <c r="F610" s="21"/>
      <c r="G610" s="21"/>
      <c r="H610" s="21"/>
      <c r="I610" s="21"/>
    </row>
    <row r="611" customFormat="false" ht="15" hidden="false" customHeight="false" outlineLevel="0" collapsed="false">
      <c r="A611" s="25"/>
      <c r="B611" s="21"/>
      <c r="C611" s="21"/>
      <c r="D611" s="26" t="str">
        <f aca="false">IF(C611="","",IFERROR(INDEX('Cadastro Mestre'!$C$5:$C$504,MATCH(C611,'Cadastro Mestre'!$A$5:$A$504,0)),"código não encontrado"))</f>
        <v/>
      </c>
      <c r="E611" s="24" t="str">
        <f aca="false">IF(C611="","",IFERROR(INDEX('Cadastro Mestre'!$Q$5:$Q$504,MATCH(C611,'Cadastro Mestre'!$A$5:$A$504,0)),""))</f>
        <v/>
      </c>
      <c r="F611" s="21"/>
      <c r="G611" s="21"/>
      <c r="H611" s="21"/>
      <c r="I611" s="21"/>
    </row>
    <row r="612" customFormat="false" ht="15" hidden="false" customHeight="false" outlineLevel="0" collapsed="false">
      <c r="A612" s="25"/>
      <c r="B612" s="21"/>
      <c r="C612" s="21"/>
      <c r="D612" s="26" t="str">
        <f aca="false">IF(C612="","",IFERROR(INDEX('Cadastro Mestre'!$C$5:$C$504,MATCH(C612,'Cadastro Mestre'!$A$5:$A$504,0)),"código não encontrado"))</f>
        <v/>
      </c>
      <c r="E612" s="24" t="str">
        <f aca="false">IF(C612="","",IFERROR(INDEX('Cadastro Mestre'!$Q$5:$Q$504,MATCH(C612,'Cadastro Mestre'!$A$5:$A$504,0)),""))</f>
        <v/>
      </c>
      <c r="F612" s="21"/>
      <c r="G612" s="21"/>
      <c r="H612" s="21"/>
      <c r="I612" s="21"/>
    </row>
    <row r="613" customFormat="false" ht="15" hidden="false" customHeight="false" outlineLevel="0" collapsed="false">
      <c r="A613" s="25"/>
      <c r="B613" s="21"/>
      <c r="C613" s="21"/>
      <c r="D613" s="26" t="str">
        <f aca="false">IF(C613="","",IFERROR(INDEX('Cadastro Mestre'!$C$5:$C$504,MATCH(C613,'Cadastro Mestre'!$A$5:$A$504,0)),"código não encontrado"))</f>
        <v/>
      </c>
      <c r="E613" s="24" t="str">
        <f aca="false">IF(C613="","",IFERROR(INDEX('Cadastro Mestre'!$Q$5:$Q$504,MATCH(C613,'Cadastro Mestre'!$A$5:$A$504,0)),""))</f>
        <v/>
      </c>
      <c r="F613" s="21"/>
      <c r="G613" s="21"/>
      <c r="H613" s="21"/>
      <c r="I613" s="21"/>
    </row>
    <row r="614" customFormat="false" ht="15" hidden="false" customHeight="false" outlineLevel="0" collapsed="false">
      <c r="A614" s="25"/>
      <c r="B614" s="21"/>
      <c r="C614" s="21"/>
      <c r="D614" s="26" t="str">
        <f aca="false">IF(C614="","",IFERROR(INDEX('Cadastro Mestre'!$C$5:$C$504,MATCH(C614,'Cadastro Mestre'!$A$5:$A$504,0)),"código não encontrado"))</f>
        <v/>
      </c>
      <c r="E614" s="24" t="str">
        <f aca="false">IF(C614="","",IFERROR(INDEX('Cadastro Mestre'!$Q$5:$Q$504,MATCH(C614,'Cadastro Mestre'!$A$5:$A$504,0)),""))</f>
        <v/>
      </c>
      <c r="F614" s="21"/>
      <c r="G614" s="21"/>
      <c r="H614" s="21"/>
      <c r="I614" s="21"/>
    </row>
    <row r="615" customFormat="false" ht="15" hidden="false" customHeight="false" outlineLevel="0" collapsed="false">
      <c r="A615" s="25"/>
      <c r="B615" s="21"/>
      <c r="C615" s="21"/>
      <c r="D615" s="26" t="str">
        <f aca="false">IF(C615="","",IFERROR(INDEX('Cadastro Mestre'!$C$5:$C$504,MATCH(C615,'Cadastro Mestre'!$A$5:$A$504,0)),"código não encontrado"))</f>
        <v/>
      </c>
      <c r="E615" s="24" t="str">
        <f aca="false">IF(C615="","",IFERROR(INDEX('Cadastro Mestre'!$Q$5:$Q$504,MATCH(C615,'Cadastro Mestre'!$A$5:$A$504,0)),""))</f>
        <v/>
      </c>
      <c r="F615" s="21"/>
      <c r="G615" s="21"/>
      <c r="H615" s="21"/>
      <c r="I615" s="21"/>
    </row>
    <row r="616" customFormat="false" ht="15" hidden="false" customHeight="false" outlineLevel="0" collapsed="false">
      <c r="A616" s="25"/>
      <c r="B616" s="21"/>
      <c r="C616" s="21"/>
      <c r="D616" s="26" t="str">
        <f aca="false">IF(C616="","",IFERROR(INDEX('Cadastro Mestre'!$C$5:$C$504,MATCH(C616,'Cadastro Mestre'!$A$5:$A$504,0)),"código não encontrado"))</f>
        <v/>
      </c>
      <c r="E616" s="24" t="str">
        <f aca="false">IF(C616="","",IFERROR(INDEX('Cadastro Mestre'!$Q$5:$Q$504,MATCH(C616,'Cadastro Mestre'!$A$5:$A$504,0)),""))</f>
        <v/>
      </c>
      <c r="F616" s="21"/>
      <c r="G616" s="21"/>
      <c r="H616" s="21"/>
      <c r="I616" s="21"/>
    </row>
    <row r="617" customFormat="false" ht="15" hidden="false" customHeight="false" outlineLevel="0" collapsed="false">
      <c r="A617" s="25"/>
      <c r="B617" s="21"/>
      <c r="C617" s="21"/>
      <c r="D617" s="26" t="str">
        <f aca="false">IF(C617="","",IFERROR(INDEX('Cadastro Mestre'!$C$5:$C$504,MATCH(C617,'Cadastro Mestre'!$A$5:$A$504,0)),"código não encontrado"))</f>
        <v/>
      </c>
      <c r="E617" s="24" t="str">
        <f aca="false">IF(C617="","",IFERROR(INDEX('Cadastro Mestre'!$Q$5:$Q$504,MATCH(C617,'Cadastro Mestre'!$A$5:$A$504,0)),""))</f>
        <v/>
      </c>
      <c r="F617" s="21"/>
      <c r="G617" s="21"/>
      <c r="H617" s="21"/>
      <c r="I617" s="21"/>
    </row>
    <row r="618" customFormat="false" ht="15" hidden="false" customHeight="false" outlineLevel="0" collapsed="false">
      <c r="A618" s="25"/>
      <c r="B618" s="21"/>
      <c r="C618" s="21"/>
      <c r="D618" s="26" t="str">
        <f aca="false">IF(C618="","",IFERROR(INDEX('Cadastro Mestre'!$C$5:$C$504,MATCH(C618,'Cadastro Mestre'!$A$5:$A$504,0)),"código não encontrado"))</f>
        <v/>
      </c>
      <c r="E618" s="24" t="str">
        <f aca="false">IF(C618="","",IFERROR(INDEX('Cadastro Mestre'!$Q$5:$Q$504,MATCH(C618,'Cadastro Mestre'!$A$5:$A$504,0)),""))</f>
        <v/>
      </c>
      <c r="F618" s="21"/>
      <c r="G618" s="21"/>
      <c r="H618" s="21"/>
      <c r="I618" s="21"/>
    </row>
    <row r="619" customFormat="false" ht="15" hidden="false" customHeight="false" outlineLevel="0" collapsed="false">
      <c r="A619" s="25"/>
      <c r="B619" s="21"/>
      <c r="C619" s="21"/>
      <c r="D619" s="26" t="str">
        <f aca="false">IF(C619="","",IFERROR(INDEX('Cadastro Mestre'!$C$5:$C$504,MATCH(C619,'Cadastro Mestre'!$A$5:$A$504,0)),"código não encontrado"))</f>
        <v/>
      </c>
      <c r="E619" s="24" t="str">
        <f aca="false">IF(C619="","",IFERROR(INDEX('Cadastro Mestre'!$Q$5:$Q$504,MATCH(C619,'Cadastro Mestre'!$A$5:$A$504,0)),""))</f>
        <v/>
      </c>
      <c r="F619" s="21"/>
      <c r="G619" s="21"/>
      <c r="H619" s="21"/>
      <c r="I619" s="21"/>
    </row>
    <row r="620" customFormat="false" ht="15" hidden="false" customHeight="false" outlineLevel="0" collapsed="false">
      <c r="A620" s="25"/>
      <c r="B620" s="21"/>
      <c r="C620" s="21"/>
      <c r="D620" s="26" t="str">
        <f aca="false">IF(C620="","",IFERROR(INDEX('Cadastro Mestre'!$C$5:$C$504,MATCH(C620,'Cadastro Mestre'!$A$5:$A$504,0)),"código não encontrado"))</f>
        <v/>
      </c>
      <c r="E620" s="24" t="str">
        <f aca="false">IF(C620="","",IFERROR(INDEX('Cadastro Mestre'!$Q$5:$Q$504,MATCH(C620,'Cadastro Mestre'!$A$5:$A$504,0)),""))</f>
        <v/>
      </c>
      <c r="F620" s="21"/>
      <c r="G620" s="21"/>
      <c r="H620" s="21"/>
      <c r="I620" s="21"/>
    </row>
    <row r="621" customFormat="false" ht="15" hidden="false" customHeight="false" outlineLevel="0" collapsed="false">
      <c r="A621" s="25"/>
      <c r="B621" s="21"/>
      <c r="C621" s="21"/>
      <c r="D621" s="26" t="str">
        <f aca="false">IF(C621="","",IFERROR(INDEX('Cadastro Mestre'!$C$5:$C$504,MATCH(C621,'Cadastro Mestre'!$A$5:$A$504,0)),"código não encontrado"))</f>
        <v/>
      </c>
      <c r="E621" s="24" t="str">
        <f aca="false">IF(C621="","",IFERROR(INDEX('Cadastro Mestre'!$Q$5:$Q$504,MATCH(C621,'Cadastro Mestre'!$A$5:$A$504,0)),""))</f>
        <v/>
      </c>
      <c r="F621" s="21"/>
      <c r="G621" s="21"/>
      <c r="H621" s="21"/>
      <c r="I621" s="21"/>
    </row>
    <row r="622" customFormat="false" ht="15" hidden="false" customHeight="false" outlineLevel="0" collapsed="false">
      <c r="A622" s="25"/>
      <c r="B622" s="21"/>
      <c r="C622" s="21"/>
      <c r="D622" s="26" t="str">
        <f aca="false">IF(C622="","",IFERROR(INDEX('Cadastro Mestre'!$C$5:$C$504,MATCH(C622,'Cadastro Mestre'!$A$5:$A$504,0)),"código não encontrado"))</f>
        <v/>
      </c>
      <c r="E622" s="24" t="str">
        <f aca="false">IF(C622="","",IFERROR(INDEX('Cadastro Mestre'!$Q$5:$Q$504,MATCH(C622,'Cadastro Mestre'!$A$5:$A$504,0)),""))</f>
        <v/>
      </c>
      <c r="F622" s="21"/>
      <c r="G622" s="21"/>
      <c r="H622" s="21"/>
      <c r="I622" s="21"/>
    </row>
    <row r="623" customFormat="false" ht="15" hidden="false" customHeight="false" outlineLevel="0" collapsed="false">
      <c r="A623" s="25"/>
      <c r="B623" s="21"/>
      <c r="C623" s="21"/>
      <c r="D623" s="26" t="str">
        <f aca="false">IF(C623="","",IFERROR(INDEX('Cadastro Mestre'!$C$5:$C$504,MATCH(C623,'Cadastro Mestre'!$A$5:$A$504,0)),"código não encontrado"))</f>
        <v/>
      </c>
      <c r="E623" s="24" t="str">
        <f aca="false">IF(C623="","",IFERROR(INDEX('Cadastro Mestre'!$Q$5:$Q$504,MATCH(C623,'Cadastro Mestre'!$A$5:$A$504,0)),""))</f>
        <v/>
      </c>
      <c r="F623" s="21"/>
      <c r="G623" s="21"/>
      <c r="H623" s="21"/>
      <c r="I623" s="21"/>
    </row>
    <row r="624" customFormat="false" ht="15" hidden="false" customHeight="false" outlineLevel="0" collapsed="false">
      <c r="A624" s="25"/>
      <c r="B624" s="21"/>
      <c r="C624" s="21"/>
      <c r="D624" s="26" t="str">
        <f aca="false">IF(C624="","",IFERROR(INDEX('Cadastro Mestre'!$C$5:$C$504,MATCH(C624,'Cadastro Mestre'!$A$5:$A$504,0)),"código não encontrado"))</f>
        <v/>
      </c>
      <c r="E624" s="24" t="str">
        <f aca="false">IF(C624="","",IFERROR(INDEX('Cadastro Mestre'!$Q$5:$Q$504,MATCH(C624,'Cadastro Mestre'!$A$5:$A$504,0)),""))</f>
        <v/>
      </c>
      <c r="F624" s="21"/>
      <c r="G624" s="21"/>
      <c r="H624" s="21"/>
      <c r="I624" s="21"/>
    </row>
    <row r="625" customFormat="false" ht="15" hidden="false" customHeight="false" outlineLevel="0" collapsed="false">
      <c r="A625" s="25"/>
      <c r="B625" s="21"/>
      <c r="C625" s="21"/>
      <c r="D625" s="26" t="str">
        <f aca="false">IF(C625="","",IFERROR(INDEX('Cadastro Mestre'!$C$5:$C$504,MATCH(C625,'Cadastro Mestre'!$A$5:$A$504,0)),"código não encontrado"))</f>
        <v/>
      </c>
      <c r="E625" s="24" t="str">
        <f aca="false">IF(C625="","",IFERROR(INDEX('Cadastro Mestre'!$Q$5:$Q$504,MATCH(C625,'Cadastro Mestre'!$A$5:$A$504,0)),""))</f>
        <v/>
      </c>
      <c r="F625" s="21"/>
      <c r="G625" s="21"/>
      <c r="H625" s="21"/>
      <c r="I625" s="21"/>
    </row>
    <row r="626" customFormat="false" ht="15" hidden="false" customHeight="false" outlineLevel="0" collapsed="false">
      <c r="A626" s="25"/>
      <c r="B626" s="21"/>
      <c r="C626" s="21"/>
      <c r="D626" s="26" t="str">
        <f aca="false">IF(C626="","",IFERROR(INDEX('Cadastro Mestre'!$C$5:$C$504,MATCH(C626,'Cadastro Mestre'!$A$5:$A$504,0)),"código não encontrado"))</f>
        <v/>
      </c>
      <c r="E626" s="24" t="str">
        <f aca="false">IF(C626="","",IFERROR(INDEX('Cadastro Mestre'!$Q$5:$Q$504,MATCH(C626,'Cadastro Mestre'!$A$5:$A$504,0)),""))</f>
        <v/>
      </c>
      <c r="F626" s="21"/>
      <c r="G626" s="21"/>
      <c r="H626" s="21"/>
      <c r="I626" s="21"/>
    </row>
    <row r="627" customFormat="false" ht="15" hidden="false" customHeight="false" outlineLevel="0" collapsed="false">
      <c r="A627" s="25"/>
      <c r="B627" s="21"/>
      <c r="C627" s="21"/>
      <c r="D627" s="26" t="str">
        <f aca="false">IF(C627="","",IFERROR(INDEX('Cadastro Mestre'!$C$5:$C$504,MATCH(C627,'Cadastro Mestre'!$A$5:$A$504,0)),"código não encontrado"))</f>
        <v/>
      </c>
      <c r="E627" s="24" t="str">
        <f aca="false">IF(C627="","",IFERROR(INDEX('Cadastro Mestre'!$Q$5:$Q$504,MATCH(C627,'Cadastro Mestre'!$A$5:$A$504,0)),""))</f>
        <v/>
      </c>
      <c r="F627" s="21"/>
      <c r="G627" s="21"/>
      <c r="H627" s="21"/>
      <c r="I627" s="21"/>
    </row>
    <row r="628" customFormat="false" ht="15" hidden="false" customHeight="false" outlineLevel="0" collapsed="false">
      <c r="A628" s="25"/>
      <c r="B628" s="21"/>
      <c r="C628" s="21"/>
      <c r="D628" s="26" t="str">
        <f aca="false">IF(C628="","",IFERROR(INDEX('Cadastro Mestre'!$C$5:$C$504,MATCH(C628,'Cadastro Mestre'!$A$5:$A$504,0)),"código não encontrado"))</f>
        <v/>
      </c>
      <c r="E628" s="24" t="str">
        <f aca="false">IF(C628="","",IFERROR(INDEX('Cadastro Mestre'!$Q$5:$Q$504,MATCH(C628,'Cadastro Mestre'!$A$5:$A$504,0)),""))</f>
        <v/>
      </c>
      <c r="F628" s="21"/>
      <c r="G628" s="21"/>
      <c r="H628" s="21"/>
      <c r="I628" s="21"/>
    </row>
    <row r="629" customFormat="false" ht="15" hidden="false" customHeight="false" outlineLevel="0" collapsed="false">
      <c r="A629" s="25"/>
      <c r="B629" s="21"/>
      <c r="C629" s="21"/>
      <c r="D629" s="26" t="str">
        <f aca="false">IF(C629="","",IFERROR(INDEX('Cadastro Mestre'!$C$5:$C$504,MATCH(C629,'Cadastro Mestre'!$A$5:$A$504,0)),"código não encontrado"))</f>
        <v/>
      </c>
      <c r="E629" s="24" t="str">
        <f aca="false">IF(C629="","",IFERROR(INDEX('Cadastro Mestre'!$Q$5:$Q$504,MATCH(C629,'Cadastro Mestre'!$A$5:$A$504,0)),""))</f>
        <v/>
      </c>
      <c r="F629" s="21"/>
      <c r="G629" s="21"/>
      <c r="H629" s="21"/>
      <c r="I629" s="21"/>
    </row>
    <row r="630" customFormat="false" ht="15" hidden="false" customHeight="false" outlineLevel="0" collapsed="false">
      <c r="A630" s="25"/>
      <c r="B630" s="21"/>
      <c r="C630" s="21"/>
      <c r="D630" s="26" t="str">
        <f aca="false">IF(C630="","",IFERROR(INDEX('Cadastro Mestre'!$C$5:$C$504,MATCH(C630,'Cadastro Mestre'!$A$5:$A$504,0)),"código não encontrado"))</f>
        <v/>
      </c>
      <c r="E630" s="24" t="str">
        <f aca="false">IF(C630="","",IFERROR(INDEX('Cadastro Mestre'!$Q$5:$Q$504,MATCH(C630,'Cadastro Mestre'!$A$5:$A$504,0)),""))</f>
        <v/>
      </c>
      <c r="F630" s="21"/>
      <c r="G630" s="21"/>
      <c r="H630" s="21"/>
      <c r="I630" s="21"/>
    </row>
    <row r="631" customFormat="false" ht="15" hidden="false" customHeight="false" outlineLevel="0" collapsed="false">
      <c r="A631" s="25"/>
      <c r="B631" s="21"/>
      <c r="C631" s="21"/>
      <c r="D631" s="26" t="str">
        <f aca="false">IF(C631="","",IFERROR(INDEX('Cadastro Mestre'!$C$5:$C$504,MATCH(C631,'Cadastro Mestre'!$A$5:$A$504,0)),"código não encontrado"))</f>
        <v/>
      </c>
      <c r="E631" s="24" t="str">
        <f aca="false">IF(C631="","",IFERROR(INDEX('Cadastro Mestre'!$Q$5:$Q$504,MATCH(C631,'Cadastro Mestre'!$A$5:$A$504,0)),""))</f>
        <v/>
      </c>
      <c r="F631" s="21"/>
      <c r="G631" s="21"/>
      <c r="H631" s="21"/>
      <c r="I631" s="21"/>
    </row>
    <row r="632" customFormat="false" ht="15" hidden="false" customHeight="false" outlineLevel="0" collapsed="false">
      <c r="A632" s="25"/>
      <c r="B632" s="21"/>
      <c r="C632" s="21"/>
      <c r="D632" s="26" t="str">
        <f aca="false">IF(C632="","",IFERROR(INDEX('Cadastro Mestre'!$C$5:$C$504,MATCH(C632,'Cadastro Mestre'!$A$5:$A$504,0)),"código não encontrado"))</f>
        <v/>
      </c>
      <c r="E632" s="24" t="str">
        <f aca="false">IF(C632="","",IFERROR(INDEX('Cadastro Mestre'!$Q$5:$Q$504,MATCH(C632,'Cadastro Mestre'!$A$5:$A$504,0)),""))</f>
        <v/>
      </c>
      <c r="F632" s="21"/>
      <c r="G632" s="21"/>
      <c r="H632" s="21"/>
      <c r="I632" s="21"/>
    </row>
    <row r="633" customFormat="false" ht="15" hidden="false" customHeight="false" outlineLevel="0" collapsed="false">
      <c r="A633" s="25"/>
      <c r="B633" s="21"/>
      <c r="C633" s="21"/>
      <c r="D633" s="26" t="str">
        <f aca="false">IF(C633="","",IFERROR(INDEX('Cadastro Mestre'!$C$5:$C$504,MATCH(C633,'Cadastro Mestre'!$A$5:$A$504,0)),"código não encontrado"))</f>
        <v/>
      </c>
      <c r="E633" s="24" t="str">
        <f aca="false">IF(C633="","",IFERROR(INDEX('Cadastro Mestre'!$Q$5:$Q$504,MATCH(C633,'Cadastro Mestre'!$A$5:$A$504,0)),""))</f>
        <v/>
      </c>
      <c r="F633" s="21"/>
      <c r="G633" s="21"/>
      <c r="H633" s="21"/>
      <c r="I633" s="21"/>
    </row>
    <row r="634" customFormat="false" ht="15" hidden="false" customHeight="false" outlineLevel="0" collapsed="false">
      <c r="A634" s="25"/>
      <c r="B634" s="21"/>
      <c r="C634" s="21"/>
      <c r="D634" s="26" t="str">
        <f aca="false">IF(C634="","",IFERROR(INDEX('Cadastro Mestre'!$C$5:$C$504,MATCH(C634,'Cadastro Mestre'!$A$5:$A$504,0)),"código não encontrado"))</f>
        <v/>
      </c>
      <c r="E634" s="24" t="str">
        <f aca="false">IF(C634="","",IFERROR(INDEX('Cadastro Mestre'!$Q$5:$Q$504,MATCH(C634,'Cadastro Mestre'!$A$5:$A$504,0)),""))</f>
        <v/>
      </c>
      <c r="F634" s="21"/>
      <c r="G634" s="21"/>
      <c r="H634" s="21"/>
      <c r="I634" s="21"/>
    </row>
    <row r="635" customFormat="false" ht="15" hidden="false" customHeight="false" outlineLevel="0" collapsed="false">
      <c r="A635" s="25"/>
      <c r="B635" s="21"/>
      <c r="C635" s="21"/>
      <c r="D635" s="26" t="str">
        <f aca="false">IF(C635="","",IFERROR(INDEX('Cadastro Mestre'!$C$5:$C$504,MATCH(C635,'Cadastro Mestre'!$A$5:$A$504,0)),"código não encontrado"))</f>
        <v/>
      </c>
      <c r="E635" s="24" t="str">
        <f aca="false">IF(C635="","",IFERROR(INDEX('Cadastro Mestre'!$Q$5:$Q$504,MATCH(C635,'Cadastro Mestre'!$A$5:$A$504,0)),""))</f>
        <v/>
      </c>
      <c r="F635" s="21"/>
      <c r="G635" s="21"/>
      <c r="H635" s="21"/>
      <c r="I635" s="21"/>
    </row>
    <row r="636" customFormat="false" ht="15" hidden="false" customHeight="false" outlineLevel="0" collapsed="false">
      <c r="A636" s="25"/>
      <c r="B636" s="21"/>
      <c r="C636" s="21"/>
      <c r="D636" s="26" t="str">
        <f aca="false">IF(C636="","",IFERROR(INDEX('Cadastro Mestre'!$C$5:$C$504,MATCH(C636,'Cadastro Mestre'!$A$5:$A$504,0)),"código não encontrado"))</f>
        <v/>
      </c>
      <c r="E636" s="24" t="str">
        <f aca="false">IF(C636="","",IFERROR(INDEX('Cadastro Mestre'!$Q$5:$Q$504,MATCH(C636,'Cadastro Mestre'!$A$5:$A$504,0)),""))</f>
        <v/>
      </c>
      <c r="F636" s="21"/>
      <c r="G636" s="21"/>
      <c r="H636" s="21"/>
      <c r="I636" s="21"/>
    </row>
    <row r="637" customFormat="false" ht="15" hidden="false" customHeight="false" outlineLevel="0" collapsed="false">
      <c r="A637" s="25"/>
      <c r="B637" s="21"/>
      <c r="C637" s="21"/>
      <c r="D637" s="26" t="str">
        <f aca="false">IF(C637="","",IFERROR(INDEX('Cadastro Mestre'!$C$5:$C$504,MATCH(C637,'Cadastro Mestre'!$A$5:$A$504,0)),"código não encontrado"))</f>
        <v/>
      </c>
      <c r="E637" s="24" t="str">
        <f aca="false">IF(C637="","",IFERROR(INDEX('Cadastro Mestre'!$Q$5:$Q$504,MATCH(C637,'Cadastro Mestre'!$A$5:$A$504,0)),""))</f>
        <v/>
      </c>
      <c r="F637" s="21"/>
      <c r="G637" s="21"/>
      <c r="H637" s="21"/>
      <c r="I637" s="21"/>
    </row>
    <row r="638" customFormat="false" ht="15" hidden="false" customHeight="false" outlineLevel="0" collapsed="false">
      <c r="A638" s="25"/>
      <c r="B638" s="21"/>
      <c r="C638" s="21"/>
      <c r="D638" s="26" t="str">
        <f aca="false">IF(C638="","",IFERROR(INDEX('Cadastro Mestre'!$C$5:$C$504,MATCH(C638,'Cadastro Mestre'!$A$5:$A$504,0)),"código não encontrado"))</f>
        <v/>
      </c>
      <c r="E638" s="24" t="str">
        <f aca="false">IF(C638="","",IFERROR(INDEX('Cadastro Mestre'!$Q$5:$Q$504,MATCH(C638,'Cadastro Mestre'!$A$5:$A$504,0)),""))</f>
        <v/>
      </c>
      <c r="F638" s="21"/>
      <c r="G638" s="21"/>
      <c r="H638" s="21"/>
      <c r="I638" s="21"/>
    </row>
    <row r="639" customFormat="false" ht="15" hidden="false" customHeight="false" outlineLevel="0" collapsed="false">
      <c r="A639" s="25"/>
      <c r="B639" s="21"/>
      <c r="C639" s="21"/>
      <c r="D639" s="26" t="str">
        <f aca="false">IF(C639="","",IFERROR(INDEX('Cadastro Mestre'!$C$5:$C$504,MATCH(C639,'Cadastro Mestre'!$A$5:$A$504,0)),"código não encontrado"))</f>
        <v/>
      </c>
      <c r="E639" s="24" t="str">
        <f aca="false">IF(C639="","",IFERROR(INDEX('Cadastro Mestre'!$Q$5:$Q$504,MATCH(C639,'Cadastro Mestre'!$A$5:$A$504,0)),""))</f>
        <v/>
      </c>
      <c r="F639" s="21"/>
      <c r="G639" s="21"/>
      <c r="H639" s="21"/>
      <c r="I639" s="21"/>
    </row>
    <row r="640" customFormat="false" ht="15" hidden="false" customHeight="false" outlineLevel="0" collapsed="false">
      <c r="A640" s="25"/>
      <c r="B640" s="21"/>
      <c r="C640" s="21"/>
      <c r="D640" s="26" t="str">
        <f aca="false">IF(C640="","",IFERROR(INDEX('Cadastro Mestre'!$C$5:$C$504,MATCH(C640,'Cadastro Mestre'!$A$5:$A$504,0)),"código não encontrado"))</f>
        <v/>
      </c>
      <c r="E640" s="24" t="str">
        <f aca="false">IF(C640="","",IFERROR(INDEX('Cadastro Mestre'!$Q$5:$Q$504,MATCH(C640,'Cadastro Mestre'!$A$5:$A$504,0)),""))</f>
        <v/>
      </c>
      <c r="F640" s="21"/>
      <c r="G640" s="21"/>
      <c r="H640" s="21"/>
      <c r="I640" s="21"/>
    </row>
    <row r="641" customFormat="false" ht="15" hidden="false" customHeight="false" outlineLevel="0" collapsed="false">
      <c r="A641" s="25"/>
      <c r="B641" s="21"/>
      <c r="C641" s="21"/>
      <c r="D641" s="26" t="str">
        <f aca="false">IF(C641="","",IFERROR(INDEX('Cadastro Mestre'!$C$5:$C$504,MATCH(C641,'Cadastro Mestre'!$A$5:$A$504,0)),"código não encontrado"))</f>
        <v/>
      </c>
      <c r="E641" s="24" t="str">
        <f aca="false">IF(C641="","",IFERROR(INDEX('Cadastro Mestre'!$Q$5:$Q$504,MATCH(C641,'Cadastro Mestre'!$A$5:$A$504,0)),""))</f>
        <v/>
      </c>
      <c r="F641" s="21"/>
      <c r="G641" s="21"/>
      <c r="H641" s="21"/>
      <c r="I641" s="21"/>
    </row>
    <row r="642" customFormat="false" ht="15" hidden="false" customHeight="false" outlineLevel="0" collapsed="false">
      <c r="A642" s="25"/>
      <c r="B642" s="21"/>
      <c r="C642" s="21"/>
      <c r="D642" s="26" t="str">
        <f aca="false">IF(C642="","",IFERROR(INDEX('Cadastro Mestre'!$C$5:$C$504,MATCH(C642,'Cadastro Mestre'!$A$5:$A$504,0)),"código não encontrado"))</f>
        <v/>
      </c>
      <c r="E642" s="24" t="str">
        <f aca="false">IF(C642="","",IFERROR(INDEX('Cadastro Mestre'!$Q$5:$Q$504,MATCH(C642,'Cadastro Mestre'!$A$5:$A$504,0)),""))</f>
        <v/>
      </c>
      <c r="F642" s="21"/>
      <c r="G642" s="21"/>
      <c r="H642" s="21"/>
      <c r="I642" s="21"/>
    </row>
    <row r="643" customFormat="false" ht="15" hidden="false" customHeight="false" outlineLevel="0" collapsed="false">
      <c r="A643" s="25"/>
      <c r="B643" s="21"/>
      <c r="C643" s="21"/>
      <c r="D643" s="26" t="str">
        <f aca="false">IF(C643="","",IFERROR(INDEX('Cadastro Mestre'!$C$5:$C$504,MATCH(C643,'Cadastro Mestre'!$A$5:$A$504,0)),"código não encontrado"))</f>
        <v/>
      </c>
      <c r="E643" s="24" t="str">
        <f aca="false">IF(C643="","",IFERROR(INDEX('Cadastro Mestre'!$Q$5:$Q$504,MATCH(C643,'Cadastro Mestre'!$A$5:$A$504,0)),""))</f>
        <v/>
      </c>
      <c r="F643" s="21"/>
      <c r="G643" s="21"/>
      <c r="H643" s="21"/>
      <c r="I643" s="21"/>
    </row>
    <row r="644" customFormat="false" ht="15" hidden="false" customHeight="false" outlineLevel="0" collapsed="false">
      <c r="A644" s="25"/>
      <c r="B644" s="21"/>
      <c r="C644" s="21"/>
      <c r="D644" s="26" t="str">
        <f aca="false">IF(C644="","",IFERROR(INDEX('Cadastro Mestre'!$C$5:$C$504,MATCH(C644,'Cadastro Mestre'!$A$5:$A$504,0)),"código não encontrado"))</f>
        <v/>
      </c>
      <c r="E644" s="24" t="str">
        <f aca="false">IF(C644="","",IFERROR(INDEX('Cadastro Mestre'!$Q$5:$Q$504,MATCH(C644,'Cadastro Mestre'!$A$5:$A$504,0)),""))</f>
        <v/>
      </c>
      <c r="F644" s="21"/>
      <c r="G644" s="21"/>
      <c r="H644" s="21"/>
      <c r="I644" s="21"/>
    </row>
    <row r="645" customFormat="false" ht="15" hidden="false" customHeight="false" outlineLevel="0" collapsed="false">
      <c r="A645" s="25"/>
      <c r="B645" s="21"/>
      <c r="C645" s="21"/>
      <c r="D645" s="26" t="str">
        <f aca="false">IF(C645="","",IFERROR(INDEX('Cadastro Mestre'!$C$5:$C$504,MATCH(C645,'Cadastro Mestre'!$A$5:$A$504,0)),"código não encontrado"))</f>
        <v/>
      </c>
      <c r="E645" s="24" t="str">
        <f aca="false">IF(C645="","",IFERROR(INDEX('Cadastro Mestre'!$Q$5:$Q$504,MATCH(C645,'Cadastro Mestre'!$A$5:$A$504,0)),""))</f>
        <v/>
      </c>
      <c r="F645" s="21"/>
      <c r="G645" s="21"/>
      <c r="H645" s="21"/>
      <c r="I645" s="21"/>
    </row>
    <row r="646" customFormat="false" ht="15" hidden="false" customHeight="false" outlineLevel="0" collapsed="false">
      <c r="A646" s="25"/>
      <c r="B646" s="21"/>
      <c r="C646" s="21"/>
      <c r="D646" s="26" t="str">
        <f aca="false">IF(C646="","",IFERROR(INDEX('Cadastro Mestre'!$C$5:$C$504,MATCH(C646,'Cadastro Mestre'!$A$5:$A$504,0)),"código não encontrado"))</f>
        <v/>
      </c>
      <c r="E646" s="24" t="str">
        <f aca="false">IF(C646="","",IFERROR(INDEX('Cadastro Mestre'!$Q$5:$Q$504,MATCH(C646,'Cadastro Mestre'!$A$5:$A$504,0)),""))</f>
        <v/>
      </c>
      <c r="F646" s="21"/>
      <c r="G646" s="21"/>
      <c r="H646" s="21"/>
      <c r="I646" s="21"/>
    </row>
    <row r="647" customFormat="false" ht="15" hidden="false" customHeight="false" outlineLevel="0" collapsed="false">
      <c r="A647" s="25"/>
      <c r="B647" s="21"/>
      <c r="C647" s="21"/>
      <c r="D647" s="26" t="str">
        <f aca="false">IF(C647="","",IFERROR(INDEX('Cadastro Mestre'!$C$5:$C$504,MATCH(C647,'Cadastro Mestre'!$A$5:$A$504,0)),"código não encontrado"))</f>
        <v/>
      </c>
      <c r="E647" s="24" t="str">
        <f aca="false">IF(C647="","",IFERROR(INDEX('Cadastro Mestre'!$Q$5:$Q$504,MATCH(C647,'Cadastro Mestre'!$A$5:$A$504,0)),""))</f>
        <v/>
      </c>
      <c r="F647" s="21"/>
      <c r="G647" s="21"/>
      <c r="H647" s="21"/>
      <c r="I647" s="21"/>
    </row>
    <row r="648" customFormat="false" ht="15" hidden="false" customHeight="false" outlineLevel="0" collapsed="false">
      <c r="A648" s="25"/>
      <c r="B648" s="21"/>
      <c r="C648" s="21"/>
      <c r="D648" s="26" t="str">
        <f aca="false">IF(C648="","",IFERROR(INDEX('Cadastro Mestre'!$C$5:$C$504,MATCH(C648,'Cadastro Mestre'!$A$5:$A$504,0)),"código não encontrado"))</f>
        <v/>
      </c>
      <c r="E648" s="24" t="str">
        <f aca="false">IF(C648="","",IFERROR(INDEX('Cadastro Mestre'!$Q$5:$Q$504,MATCH(C648,'Cadastro Mestre'!$A$5:$A$504,0)),""))</f>
        <v/>
      </c>
      <c r="F648" s="21"/>
      <c r="G648" s="21"/>
      <c r="H648" s="21"/>
      <c r="I648" s="21"/>
    </row>
    <row r="649" customFormat="false" ht="15" hidden="false" customHeight="false" outlineLevel="0" collapsed="false">
      <c r="A649" s="25"/>
      <c r="B649" s="21"/>
      <c r="C649" s="21"/>
      <c r="D649" s="26" t="str">
        <f aca="false">IF(C649="","",IFERROR(INDEX('Cadastro Mestre'!$C$5:$C$504,MATCH(C649,'Cadastro Mestre'!$A$5:$A$504,0)),"código não encontrado"))</f>
        <v/>
      </c>
      <c r="E649" s="24" t="str">
        <f aca="false">IF(C649="","",IFERROR(INDEX('Cadastro Mestre'!$Q$5:$Q$504,MATCH(C649,'Cadastro Mestre'!$A$5:$A$504,0)),""))</f>
        <v/>
      </c>
      <c r="F649" s="21"/>
      <c r="G649" s="21"/>
      <c r="H649" s="21"/>
      <c r="I649" s="21"/>
    </row>
    <row r="650" customFormat="false" ht="15" hidden="false" customHeight="false" outlineLevel="0" collapsed="false">
      <c r="A650" s="25"/>
      <c r="B650" s="21"/>
      <c r="C650" s="21"/>
      <c r="D650" s="26" t="str">
        <f aca="false">IF(C650="","",IFERROR(INDEX('Cadastro Mestre'!$C$5:$C$504,MATCH(C650,'Cadastro Mestre'!$A$5:$A$504,0)),"código não encontrado"))</f>
        <v/>
      </c>
      <c r="E650" s="24" t="str">
        <f aca="false">IF(C650="","",IFERROR(INDEX('Cadastro Mestre'!$Q$5:$Q$504,MATCH(C650,'Cadastro Mestre'!$A$5:$A$504,0)),""))</f>
        <v/>
      </c>
      <c r="F650" s="21"/>
      <c r="G650" s="21"/>
      <c r="H650" s="21"/>
      <c r="I650" s="21"/>
    </row>
    <row r="651" customFormat="false" ht="15" hidden="false" customHeight="false" outlineLevel="0" collapsed="false">
      <c r="A651" s="25"/>
      <c r="B651" s="21"/>
      <c r="C651" s="21"/>
      <c r="D651" s="26" t="str">
        <f aca="false">IF(C651="","",IFERROR(INDEX('Cadastro Mestre'!$C$5:$C$504,MATCH(C651,'Cadastro Mestre'!$A$5:$A$504,0)),"código não encontrado"))</f>
        <v/>
      </c>
      <c r="E651" s="24" t="str">
        <f aca="false">IF(C651="","",IFERROR(INDEX('Cadastro Mestre'!$Q$5:$Q$504,MATCH(C651,'Cadastro Mestre'!$A$5:$A$504,0)),""))</f>
        <v/>
      </c>
      <c r="F651" s="21"/>
      <c r="G651" s="21"/>
      <c r="H651" s="21"/>
      <c r="I651" s="21"/>
    </row>
    <row r="652" customFormat="false" ht="15" hidden="false" customHeight="false" outlineLevel="0" collapsed="false">
      <c r="A652" s="25"/>
      <c r="B652" s="21"/>
      <c r="C652" s="21"/>
      <c r="D652" s="26" t="str">
        <f aca="false">IF(C652="","",IFERROR(INDEX('Cadastro Mestre'!$C$5:$C$504,MATCH(C652,'Cadastro Mestre'!$A$5:$A$504,0)),"código não encontrado"))</f>
        <v/>
      </c>
      <c r="E652" s="24" t="str">
        <f aca="false">IF(C652="","",IFERROR(INDEX('Cadastro Mestre'!$Q$5:$Q$504,MATCH(C652,'Cadastro Mestre'!$A$5:$A$504,0)),""))</f>
        <v/>
      </c>
      <c r="F652" s="21"/>
      <c r="G652" s="21"/>
      <c r="H652" s="21"/>
      <c r="I652" s="21"/>
    </row>
    <row r="653" customFormat="false" ht="15" hidden="false" customHeight="false" outlineLevel="0" collapsed="false">
      <c r="A653" s="25"/>
      <c r="B653" s="21"/>
      <c r="C653" s="21"/>
      <c r="D653" s="26" t="str">
        <f aca="false">IF(C653="","",IFERROR(INDEX('Cadastro Mestre'!$C$5:$C$504,MATCH(C653,'Cadastro Mestre'!$A$5:$A$504,0)),"código não encontrado"))</f>
        <v/>
      </c>
      <c r="E653" s="24" t="str">
        <f aca="false">IF(C653="","",IFERROR(INDEX('Cadastro Mestre'!$Q$5:$Q$504,MATCH(C653,'Cadastro Mestre'!$A$5:$A$504,0)),""))</f>
        <v/>
      </c>
      <c r="F653" s="21"/>
      <c r="G653" s="21"/>
      <c r="H653" s="21"/>
      <c r="I653" s="21"/>
    </row>
    <row r="654" customFormat="false" ht="15" hidden="false" customHeight="false" outlineLevel="0" collapsed="false">
      <c r="A654" s="25"/>
      <c r="B654" s="21"/>
      <c r="C654" s="21"/>
      <c r="D654" s="26" t="str">
        <f aca="false">IF(C654="","",IFERROR(INDEX('Cadastro Mestre'!$C$5:$C$504,MATCH(C654,'Cadastro Mestre'!$A$5:$A$504,0)),"código não encontrado"))</f>
        <v/>
      </c>
      <c r="E654" s="24" t="str">
        <f aca="false">IF(C654="","",IFERROR(INDEX('Cadastro Mestre'!$Q$5:$Q$504,MATCH(C654,'Cadastro Mestre'!$A$5:$A$504,0)),""))</f>
        <v/>
      </c>
      <c r="F654" s="21"/>
      <c r="G654" s="21"/>
      <c r="H654" s="21"/>
      <c r="I654" s="21"/>
    </row>
    <row r="655" customFormat="false" ht="15" hidden="false" customHeight="false" outlineLevel="0" collapsed="false">
      <c r="A655" s="25"/>
      <c r="B655" s="21"/>
      <c r="C655" s="21"/>
      <c r="D655" s="26" t="str">
        <f aca="false">IF(C655="","",IFERROR(INDEX('Cadastro Mestre'!$C$5:$C$504,MATCH(C655,'Cadastro Mestre'!$A$5:$A$504,0)),"código não encontrado"))</f>
        <v/>
      </c>
      <c r="E655" s="24" t="str">
        <f aca="false">IF(C655="","",IFERROR(INDEX('Cadastro Mestre'!$Q$5:$Q$504,MATCH(C655,'Cadastro Mestre'!$A$5:$A$504,0)),""))</f>
        <v/>
      </c>
      <c r="F655" s="21"/>
      <c r="G655" s="21"/>
      <c r="H655" s="21"/>
      <c r="I655" s="21"/>
    </row>
    <row r="656" customFormat="false" ht="15" hidden="false" customHeight="false" outlineLevel="0" collapsed="false">
      <c r="A656" s="25"/>
      <c r="B656" s="21"/>
      <c r="C656" s="21"/>
      <c r="D656" s="26" t="str">
        <f aca="false">IF(C656="","",IFERROR(INDEX('Cadastro Mestre'!$C$5:$C$504,MATCH(C656,'Cadastro Mestre'!$A$5:$A$504,0)),"código não encontrado"))</f>
        <v/>
      </c>
      <c r="E656" s="24" t="str">
        <f aca="false">IF(C656="","",IFERROR(INDEX('Cadastro Mestre'!$Q$5:$Q$504,MATCH(C656,'Cadastro Mestre'!$A$5:$A$504,0)),""))</f>
        <v/>
      </c>
      <c r="F656" s="21"/>
      <c r="G656" s="21"/>
      <c r="H656" s="21"/>
      <c r="I656" s="21"/>
    </row>
    <row r="657" customFormat="false" ht="15" hidden="false" customHeight="false" outlineLevel="0" collapsed="false">
      <c r="A657" s="25"/>
      <c r="B657" s="21"/>
      <c r="C657" s="21"/>
      <c r="D657" s="26" t="str">
        <f aca="false">IF(C657="","",IFERROR(INDEX('Cadastro Mestre'!$C$5:$C$504,MATCH(C657,'Cadastro Mestre'!$A$5:$A$504,0)),"código não encontrado"))</f>
        <v/>
      </c>
      <c r="E657" s="24" t="str">
        <f aca="false">IF(C657="","",IFERROR(INDEX('Cadastro Mestre'!$Q$5:$Q$504,MATCH(C657,'Cadastro Mestre'!$A$5:$A$504,0)),""))</f>
        <v/>
      </c>
      <c r="F657" s="21"/>
      <c r="G657" s="21"/>
      <c r="H657" s="21"/>
      <c r="I657" s="21"/>
    </row>
    <row r="658" customFormat="false" ht="15" hidden="false" customHeight="false" outlineLevel="0" collapsed="false">
      <c r="A658" s="25"/>
      <c r="B658" s="21"/>
      <c r="C658" s="21"/>
      <c r="D658" s="26" t="str">
        <f aca="false">IF(C658="","",IFERROR(INDEX('Cadastro Mestre'!$C$5:$C$504,MATCH(C658,'Cadastro Mestre'!$A$5:$A$504,0)),"código não encontrado"))</f>
        <v/>
      </c>
      <c r="E658" s="24" t="str">
        <f aca="false">IF(C658="","",IFERROR(INDEX('Cadastro Mestre'!$Q$5:$Q$504,MATCH(C658,'Cadastro Mestre'!$A$5:$A$504,0)),""))</f>
        <v/>
      </c>
      <c r="F658" s="21"/>
      <c r="G658" s="21"/>
      <c r="H658" s="21"/>
      <c r="I658" s="21"/>
    </row>
    <row r="659" customFormat="false" ht="15" hidden="false" customHeight="false" outlineLevel="0" collapsed="false">
      <c r="A659" s="25"/>
      <c r="B659" s="21"/>
      <c r="C659" s="21"/>
      <c r="D659" s="26" t="str">
        <f aca="false">IF(C659="","",IFERROR(INDEX('Cadastro Mestre'!$C$5:$C$504,MATCH(C659,'Cadastro Mestre'!$A$5:$A$504,0)),"código não encontrado"))</f>
        <v/>
      </c>
      <c r="E659" s="24" t="str">
        <f aca="false">IF(C659="","",IFERROR(INDEX('Cadastro Mestre'!$Q$5:$Q$504,MATCH(C659,'Cadastro Mestre'!$A$5:$A$504,0)),""))</f>
        <v/>
      </c>
      <c r="F659" s="21"/>
      <c r="G659" s="21"/>
      <c r="H659" s="21"/>
      <c r="I659" s="21"/>
    </row>
    <row r="660" customFormat="false" ht="15" hidden="false" customHeight="false" outlineLevel="0" collapsed="false">
      <c r="A660" s="25"/>
      <c r="B660" s="21"/>
      <c r="C660" s="21"/>
      <c r="D660" s="26" t="str">
        <f aca="false">IF(C660="","",IFERROR(INDEX('Cadastro Mestre'!$C$5:$C$504,MATCH(C660,'Cadastro Mestre'!$A$5:$A$504,0)),"código não encontrado"))</f>
        <v/>
      </c>
      <c r="E660" s="24" t="str">
        <f aca="false">IF(C660="","",IFERROR(INDEX('Cadastro Mestre'!$Q$5:$Q$504,MATCH(C660,'Cadastro Mestre'!$A$5:$A$504,0)),""))</f>
        <v/>
      </c>
      <c r="F660" s="21"/>
      <c r="G660" s="21"/>
      <c r="H660" s="21"/>
      <c r="I660" s="21"/>
    </row>
    <row r="661" customFormat="false" ht="15" hidden="false" customHeight="false" outlineLevel="0" collapsed="false">
      <c r="A661" s="25"/>
      <c r="B661" s="21"/>
      <c r="C661" s="21"/>
      <c r="D661" s="26" t="str">
        <f aca="false">IF(C661="","",IFERROR(INDEX('Cadastro Mestre'!$C$5:$C$504,MATCH(C661,'Cadastro Mestre'!$A$5:$A$504,0)),"código não encontrado"))</f>
        <v/>
      </c>
      <c r="E661" s="24" t="str">
        <f aca="false">IF(C661="","",IFERROR(INDEX('Cadastro Mestre'!$Q$5:$Q$504,MATCH(C661,'Cadastro Mestre'!$A$5:$A$504,0)),""))</f>
        <v/>
      </c>
      <c r="F661" s="21"/>
      <c r="G661" s="21"/>
      <c r="H661" s="21"/>
      <c r="I661" s="21"/>
    </row>
    <row r="662" customFormat="false" ht="15" hidden="false" customHeight="false" outlineLevel="0" collapsed="false">
      <c r="A662" s="25"/>
      <c r="B662" s="21"/>
      <c r="C662" s="21"/>
      <c r="D662" s="26" t="str">
        <f aca="false">IF(C662="","",IFERROR(INDEX('Cadastro Mestre'!$C$5:$C$504,MATCH(C662,'Cadastro Mestre'!$A$5:$A$504,0)),"código não encontrado"))</f>
        <v/>
      </c>
      <c r="E662" s="24" t="str">
        <f aca="false">IF(C662="","",IFERROR(INDEX('Cadastro Mestre'!$Q$5:$Q$504,MATCH(C662,'Cadastro Mestre'!$A$5:$A$504,0)),""))</f>
        <v/>
      </c>
      <c r="F662" s="21"/>
      <c r="G662" s="21"/>
      <c r="H662" s="21"/>
      <c r="I662" s="21"/>
    </row>
    <row r="663" customFormat="false" ht="15" hidden="false" customHeight="false" outlineLevel="0" collapsed="false">
      <c r="A663" s="25"/>
      <c r="B663" s="21"/>
      <c r="C663" s="21"/>
      <c r="D663" s="26" t="str">
        <f aca="false">IF(C663="","",IFERROR(INDEX('Cadastro Mestre'!$C$5:$C$504,MATCH(C663,'Cadastro Mestre'!$A$5:$A$504,0)),"código não encontrado"))</f>
        <v/>
      </c>
      <c r="E663" s="24" t="str">
        <f aca="false">IF(C663="","",IFERROR(INDEX('Cadastro Mestre'!$Q$5:$Q$504,MATCH(C663,'Cadastro Mestre'!$A$5:$A$504,0)),""))</f>
        <v/>
      </c>
      <c r="F663" s="21"/>
      <c r="G663" s="21"/>
      <c r="H663" s="21"/>
      <c r="I663" s="21"/>
    </row>
    <row r="664" customFormat="false" ht="15" hidden="false" customHeight="false" outlineLevel="0" collapsed="false">
      <c r="A664" s="25"/>
      <c r="B664" s="21"/>
      <c r="C664" s="21"/>
      <c r="D664" s="26" t="str">
        <f aca="false">IF(C664="","",IFERROR(INDEX('Cadastro Mestre'!$C$5:$C$504,MATCH(C664,'Cadastro Mestre'!$A$5:$A$504,0)),"código não encontrado"))</f>
        <v/>
      </c>
      <c r="E664" s="24" t="str">
        <f aca="false">IF(C664="","",IFERROR(INDEX('Cadastro Mestre'!$Q$5:$Q$504,MATCH(C664,'Cadastro Mestre'!$A$5:$A$504,0)),""))</f>
        <v/>
      </c>
      <c r="F664" s="21"/>
      <c r="G664" s="21"/>
      <c r="H664" s="21"/>
      <c r="I664" s="21"/>
    </row>
    <row r="665" customFormat="false" ht="15" hidden="false" customHeight="false" outlineLevel="0" collapsed="false">
      <c r="A665" s="25"/>
      <c r="B665" s="21"/>
      <c r="C665" s="21"/>
      <c r="D665" s="26" t="str">
        <f aca="false">IF(C665="","",IFERROR(INDEX('Cadastro Mestre'!$C$5:$C$504,MATCH(C665,'Cadastro Mestre'!$A$5:$A$504,0)),"código não encontrado"))</f>
        <v/>
      </c>
      <c r="E665" s="24" t="str">
        <f aca="false">IF(C665="","",IFERROR(INDEX('Cadastro Mestre'!$Q$5:$Q$504,MATCH(C665,'Cadastro Mestre'!$A$5:$A$504,0)),""))</f>
        <v/>
      </c>
      <c r="F665" s="21"/>
      <c r="G665" s="21"/>
      <c r="H665" s="21"/>
      <c r="I665" s="21"/>
    </row>
    <row r="666" customFormat="false" ht="15" hidden="false" customHeight="false" outlineLevel="0" collapsed="false">
      <c r="A666" s="25"/>
      <c r="B666" s="21"/>
      <c r="C666" s="21"/>
      <c r="D666" s="26" t="str">
        <f aca="false">IF(C666="","",IFERROR(INDEX('Cadastro Mestre'!$C$5:$C$504,MATCH(C666,'Cadastro Mestre'!$A$5:$A$504,0)),"código não encontrado"))</f>
        <v/>
      </c>
      <c r="E666" s="24" t="str">
        <f aca="false">IF(C666="","",IFERROR(INDEX('Cadastro Mestre'!$Q$5:$Q$504,MATCH(C666,'Cadastro Mestre'!$A$5:$A$504,0)),""))</f>
        <v/>
      </c>
      <c r="F666" s="21"/>
      <c r="G666" s="21"/>
      <c r="H666" s="21"/>
      <c r="I666" s="21"/>
    </row>
    <row r="667" customFormat="false" ht="15" hidden="false" customHeight="false" outlineLevel="0" collapsed="false">
      <c r="A667" s="25"/>
      <c r="B667" s="21"/>
      <c r="C667" s="21"/>
      <c r="D667" s="26" t="str">
        <f aca="false">IF(C667="","",IFERROR(INDEX('Cadastro Mestre'!$C$5:$C$504,MATCH(C667,'Cadastro Mestre'!$A$5:$A$504,0)),"código não encontrado"))</f>
        <v/>
      </c>
      <c r="E667" s="24" t="str">
        <f aca="false">IF(C667="","",IFERROR(INDEX('Cadastro Mestre'!$Q$5:$Q$504,MATCH(C667,'Cadastro Mestre'!$A$5:$A$504,0)),""))</f>
        <v/>
      </c>
      <c r="F667" s="21"/>
      <c r="G667" s="21"/>
      <c r="H667" s="21"/>
      <c r="I667" s="21"/>
    </row>
    <row r="668" customFormat="false" ht="15" hidden="false" customHeight="false" outlineLevel="0" collapsed="false">
      <c r="A668" s="25"/>
      <c r="B668" s="21"/>
      <c r="C668" s="21"/>
      <c r="D668" s="26" t="str">
        <f aca="false">IF(C668="","",IFERROR(INDEX('Cadastro Mestre'!$C$5:$C$504,MATCH(C668,'Cadastro Mestre'!$A$5:$A$504,0)),"código não encontrado"))</f>
        <v/>
      </c>
      <c r="E668" s="24" t="str">
        <f aca="false">IF(C668="","",IFERROR(INDEX('Cadastro Mestre'!$Q$5:$Q$504,MATCH(C668,'Cadastro Mestre'!$A$5:$A$504,0)),""))</f>
        <v/>
      </c>
      <c r="F668" s="21"/>
      <c r="G668" s="21"/>
      <c r="H668" s="21"/>
      <c r="I668" s="21"/>
    </row>
    <row r="669" customFormat="false" ht="15" hidden="false" customHeight="false" outlineLevel="0" collapsed="false">
      <c r="A669" s="25"/>
      <c r="B669" s="21"/>
      <c r="C669" s="21"/>
      <c r="D669" s="26" t="str">
        <f aca="false">IF(C669="","",IFERROR(INDEX('Cadastro Mestre'!$C$5:$C$504,MATCH(C669,'Cadastro Mestre'!$A$5:$A$504,0)),"código não encontrado"))</f>
        <v/>
      </c>
      <c r="E669" s="24" t="str">
        <f aca="false">IF(C669="","",IFERROR(INDEX('Cadastro Mestre'!$Q$5:$Q$504,MATCH(C669,'Cadastro Mestre'!$A$5:$A$504,0)),""))</f>
        <v/>
      </c>
      <c r="F669" s="21"/>
      <c r="G669" s="21"/>
      <c r="H669" s="21"/>
      <c r="I669" s="21"/>
    </row>
    <row r="670" customFormat="false" ht="15" hidden="false" customHeight="false" outlineLevel="0" collapsed="false">
      <c r="A670" s="25"/>
      <c r="B670" s="21"/>
      <c r="C670" s="21"/>
      <c r="D670" s="26" t="str">
        <f aca="false">IF(C670="","",IFERROR(INDEX('Cadastro Mestre'!$C$5:$C$504,MATCH(C670,'Cadastro Mestre'!$A$5:$A$504,0)),"código não encontrado"))</f>
        <v/>
      </c>
      <c r="E670" s="24" t="str">
        <f aca="false">IF(C670="","",IFERROR(INDEX('Cadastro Mestre'!$Q$5:$Q$504,MATCH(C670,'Cadastro Mestre'!$A$5:$A$504,0)),""))</f>
        <v/>
      </c>
      <c r="F670" s="21"/>
      <c r="G670" s="21"/>
      <c r="H670" s="21"/>
      <c r="I670" s="21"/>
    </row>
    <row r="671" customFormat="false" ht="15" hidden="false" customHeight="false" outlineLevel="0" collapsed="false">
      <c r="A671" s="25"/>
      <c r="B671" s="21"/>
      <c r="C671" s="21"/>
      <c r="D671" s="26" t="str">
        <f aca="false">IF(C671="","",IFERROR(INDEX('Cadastro Mestre'!$C$5:$C$504,MATCH(C671,'Cadastro Mestre'!$A$5:$A$504,0)),"código não encontrado"))</f>
        <v/>
      </c>
      <c r="E671" s="24" t="str">
        <f aca="false">IF(C671="","",IFERROR(INDEX('Cadastro Mestre'!$Q$5:$Q$504,MATCH(C671,'Cadastro Mestre'!$A$5:$A$504,0)),""))</f>
        <v/>
      </c>
      <c r="F671" s="21"/>
      <c r="G671" s="21"/>
      <c r="H671" s="21"/>
      <c r="I671" s="21"/>
    </row>
    <row r="672" customFormat="false" ht="15" hidden="false" customHeight="false" outlineLevel="0" collapsed="false">
      <c r="A672" s="25"/>
      <c r="B672" s="21"/>
      <c r="C672" s="21"/>
      <c r="D672" s="26" t="str">
        <f aca="false">IF(C672="","",IFERROR(INDEX('Cadastro Mestre'!$C$5:$C$504,MATCH(C672,'Cadastro Mestre'!$A$5:$A$504,0)),"código não encontrado"))</f>
        <v/>
      </c>
      <c r="E672" s="24" t="str">
        <f aca="false">IF(C672="","",IFERROR(INDEX('Cadastro Mestre'!$Q$5:$Q$504,MATCH(C672,'Cadastro Mestre'!$A$5:$A$504,0)),""))</f>
        <v/>
      </c>
      <c r="F672" s="21"/>
      <c r="G672" s="21"/>
      <c r="H672" s="21"/>
      <c r="I672" s="21"/>
    </row>
    <row r="673" customFormat="false" ht="15" hidden="false" customHeight="false" outlineLevel="0" collapsed="false">
      <c r="A673" s="25"/>
      <c r="B673" s="21"/>
      <c r="C673" s="21"/>
      <c r="D673" s="26" t="str">
        <f aca="false">IF(C673="","",IFERROR(INDEX('Cadastro Mestre'!$C$5:$C$504,MATCH(C673,'Cadastro Mestre'!$A$5:$A$504,0)),"código não encontrado"))</f>
        <v/>
      </c>
      <c r="E673" s="24" t="str">
        <f aca="false">IF(C673="","",IFERROR(INDEX('Cadastro Mestre'!$Q$5:$Q$504,MATCH(C673,'Cadastro Mestre'!$A$5:$A$504,0)),""))</f>
        <v/>
      </c>
      <c r="F673" s="21"/>
      <c r="G673" s="21"/>
      <c r="H673" s="21"/>
      <c r="I673" s="21"/>
    </row>
    <row r="674" customFormat="false" ht="15" hidden="false" customHeight="false" outlineLevel="0" collapsed="false">
      <c r="A674" s="25"/>
      <c r="B674" s="21"/>
      <c r="C674" s="21"/>
      <c r="D674" s="26" t="str">
        <f aca="false">IF(C674="","",IFERROR(INDEX('Cadastro Mestre'!$C$5:$C$504,MATCH(C674,'Cadastro Mestre'!$A$5:$A$504,0)),"código não encontrado"))</f>
        <v/>
      </c>
      <c r="E674" s="24" t="str">
        <f aca="false">IF(C674="","",IFERROR(INDEX('Cadastro Mestre'!$Q$5:$Q$504,MATCH(C674,'Cadastro Mestre'!$A$5:$A$504,0)),""))</f>
        <v/>
      </c>
      <c r="F674" s="21"/>
      <c r="G674" s="21"/>
      <c r="H674" s="21"/>
      <c r="I674" s="21"/>
    </row>
    <row r="675" customFormat="false" ht="15" hidden="false" customHeight="false" outlineLevel="0" collapsed="false">
      <c r="A675" s="25"/>
      <c r="B675" s="21"/>
      <c r="C675" s="21"/>
      <c r="D675" s="26" t="str">
        <f aca="false">IF(C675="","",IFERROR(INDEX('Cadastro Mestre'!$C$5:$C$504,MATCH(C675,'Cadastro Mestre'!$A$5:$A$504,0)),"código não encontrado"))</f>
        <v/>
      </c>
      <c r="E675" s="24" t="str">
        <f aca="false">IF(C675="","",IFERROR(INDEX('Cadastro Mestre'!$Q$5:$Q$504,MATCH(C675,'Cadastro Mestre'!$A$5:$A$504,0)),""))</f>
        <v/>
      </c>
      <c r="F675" s="21"/>
      <c r="G675" s="21"/>
      <c r="H675" s="21"/>
      <c r="I675" s="21"/>
    </row>
    <row r="676" customFormat="false" ht="15" hidden="false" customHeight="false" outlineLevel="0" collapsed="false">
      <c r="A676" s="25"/>
      <c r="B676" s="21"/>
      <c r="C676" s="21"/>
      <c r="D676" s="26" t="str">
        <f aca="false">IF(C676="","",IFERROR(INDEX('Cadastro Mestre'!$C$5:$C$504,MATCH(C676,'Cadastro Mestre'!$A$5:$A$504,0)),"código não encontrado"))</f>
        <v/>
      </c>
      <c r="E676" s="24" t="str">
        <f aca="false">IF(C676="","",IFERROR(INDEX('Cadastro Mestre'!$Q$5:$Q$504,MATCH(C676,'Cadastro Mestre'!$A$5:$A$504,0)),""))</f>
        <v/>
      </c>
      <c r="F676" s="21"/>
      <c r="G676" s="21"/>
      <c r="H676" s="21"/>
      <c r="I676" s="21"/>
    </row>
    <row r="677" customFormat="false" ht="15" hidden="false" customHeight="false" outlineLevel="0" collapsed="false">
      <c r="A677" s="25"/>
      <c r="B677" s="21"/>
      <c r="C677" s="21"/>
      <c r="D677" s="26" t="str">
        <f aca="false">IF(C677="","",IFERROR(INDEX('Cadastro Mestre'!$C$5:$C$504,MATCH(C677,'Cadastro Mestre'!$A$5:$A$504,0)),"código não encontrado"))</f>
        <v/>
      </c>
      <c r="E677" s="24" t="str">
        <f aca="false">IF(C677="","",IFERROR(INDEX('Cadastro Mestre'!$Q$5:$Q$504,MATCH(C677,'Cadastro Mestre'!$A$5:$A$504,0)),""))</f>
        <v/>
      </c>
      <c r="F677" s="21"/>
      <c r="G677" s="21"/>
      <c r="H677" s="21"/>
      <c r="I677" s="21"/>
    </row>
    <row r="678" customFormat="false" ht="15" hidden="false" customHeight="false" outlineLevel="0" collapsed="false">
      <c r="A678" s="25"/>
      <c r="B678" s="21"/>
      <c r="C678" s="21"/>
      <c r="D678" s="26" t="str">
        <f aca="false">IF(C678="","",IFERROR(INDEX('Cadastro Mestre'!$C$5:$C$504,MATCH(C678,'Cadastro Mestre'!$A$5:$A$504,0)),"código não encontrado"))</f>
        <v/>
      </c>
      <c r="E678" s="24" t="str">
        <f aca="false">IF(C678="","",IFERROR(INDEX('Cadastro Mestre'!$Q$5:$Q$504,MATCH(C678,'Cadastro Mestre'!$A$5:$A$504,0)),""))</f>
        <v/>
      </c>
      <c r="F678" s="21"/>
      <c r="G678" s="21"/>
      <c r="H678" s="21"/>
      <c r="I678" s="21"/>
    </row>
    <row r="679" customFormat="false" ht="15" hidden="false" customHeight="false" outlineLevel="0" collapsed="false">
      <c r="A679" s="25"/>
      <c r="B679" s="21"/>
      <c r="C679" s="21"/>
      <c r="D679" s="26" t="str">
        <f aca="false">IF(C679="","",IFERROR(INDEX('Cadastro Mestre'!$C$5:$C$504,MATCH(C679,'Cadastro Mestre'!$A$5:$A$504,0)),"código não encontrado"))</f>
        <v/>
      </c>
      <c r="E679" s="24" t="str">
        <f aca="false">IF(C679="","",IFERROR(INDEX('Cadastro Mestre'!$Q$5:$Q$504,MATCH(C679,'Cadastro Mestre'!$A$5:$A$504,0)),""))</f>
        <v/>
      </c>
      <c r="F679" s="21"/>
      <c r="G679" s="21"/>
      <c r="H679" s="21"/>
      <c r="I679" s="21"/>
    </row>
    <row r="680" customFormat="false" ht="15" hidden="false" customHeight="false" outlineLevel="0" collapsed="false">
      <c r="A680" s="25"/>
      <c r="B680" s="21"/>
      <c r="C680" s="21"/>
      <c r="D680" s="26" t="str">
        <f aca="false">IF(C680="","",IFERROR(INDEX('Cadastro Mestre'!$C$5:$C$504,MATCH(C680,'Cadastro Mestre'!$A$5:$A$504,0)),"código não encontrado"))</f>
        <v/>
      </c>
      <c r="E680" s="24" t="str">
        <f aca="false">IF(C680="","",IFERROR(INDEX('Cadastro Mestre'!$Q$5:$Q$504,MATCH(C680,'Cadastro Mestre'!$A$5:$A$504,0)),""))</f>
        <v/>
      </c>
      <c r="F680" s="21"/>
      <c r="G680" s="21"/>
      <c r="H680" s="21"/>
      <c r="I680" s="21"/>
    </row>
    <row r="681" customFormat="false" ht="15" hidden="false" customHeight="false" outlineLevel="0" collapsed="false">
      <c r="A681" s="25"/>
      <c r="B681" s="21"/>
      <c r="C681" s="21"/>
      <c r="D681" s="26" t="str">
        <f aca="false">IF(C681="","",IFERROR(INDEX('Cadastro Mestre'!$C$5:$C$504,MATCH(C681,'Cadastro Mestre'!$A$5:$A$504,0)),"código não encontrado"))</f>
        <v/>
      </c>
      <c r="E681" s="24" t="str">
        <f aca="false">IF(C681="","",IFERROR(INDEX('Cadastro Mestre'!$Q$5:$Q$504,MATCH(C681,'Cadastro Mestre'!$A$5:$A$504,0)),""))</f>
        <v/>
      </c>
      <c r="F681" s="21"/>
      <c r="G681" s="21"/>
      <c r="H681" s="21"/>
      <c r="I681" s="21"/>
    </row>
    <row r="682" customFormat="false" ht="15" hidden="false" customHeight="false" outlineLevel="0" collapsed="false">
      <c r="A682" s="25"/>
      <c r="B682" s="21"/>
      <c r="C682" s="21"/>
      <c r="D682" s="26" t="str">
        <f aca="false">IF(C682="","",IFERROR(INDEX('Cadastro Mestre'!$C$5:$C$504,MATCH(C682,'Cadastro Mestre'!$A$5:$A$504,0)),"código não encontrado"))</f>
        <v/>
      </c>
      <c r="E682" s="24" t="str">
        <f aca="false">IF(C682="","",IFERROR(INDEX('Cadastro Mestre'!$Q$5:$Q$504,MATCH(C682,'Cadastro Mestre'!$A$5:$A$504,0)),""))</f>
        <v/>
      </c>
      <c r="F682" s="21"/>
      <c r="G682" s="21"/>
      <c r="H682" s="21"/>
      <c r="I682" s="21"/>
    </row>
    <row r="683" customFormat="false" ht="15" hidden="false" customHeight="false" outlineLevel="0" collapsed="false">
      <c r="A683" s="25"/>
      <c r="B683" s="21"/>
      <c r="C683" s="21"/>
      <c r="D683" s="26" t="str">
        <f aca="false">IF(C683="","",IFERROR(INDEX('Cadastro Mestre'!$C$5:$C$504,MATCH(C683,'Cadastro Mestre'!$A$5:$A$504,0)),"código não encontrado"))</f>
        <v/>
      </c>
      <c r="E683" s="24" t="str">
        <f aca="false">IF(C683="","",IFERROR(INDEX('Cadastro Mestre'!$Q$5:$Q$504,MATCH(C683,'Cadastro Mestre'!$A$5:$A$504,0)),""))</f>
        <v/>
      </c>
      <c r="F683" s="21"/>
      <c r="G683" s="21"/>
      <c r="H683" s="21"/>
      <c r="I683" s="21"/>
    </row>
    <row r="684" customFormat="false" ht="15" hidden="false" customHeight="false" outlineLevel="0" collapsed="false">
      <c r="A684" s="25"/>
      <c r="B684" s="21"/>
      <c r="C684" s="21"/>
      <c r="D684" s="26" t="str">
        <f aca="false">IF(C684="","",IFERROR(INDEX('Cadastro Mestre'!$C$5:$C$504,MATCH(C684,'Cadastro Mestre'!$A$5:$A$504,0)),"código não encontrado"))</f>
        <v/>
      </c>
      <c r="E684" s="24" t="str">
        <f aca="false">IF(C684="","",IFERROR(INDEX('Cadastro Mestre'!$Q$5:$Q$504,MATCH(C684,'Cadastro Mestre'!$A$5:$A$504,0)),""))</f>
        <v/>
      </c>
      <c r="F684" s="21"/>
      <c r="G684" s="21"/>
      <c r="H684" s="21"/>
      <c r="I684" s="21"/>
    </row>
    <row r="685" customFormat="false" ht="15" hidden="false" customHeight="false" outlineLevel="0" collapsed="false">
      <c r="A685" s="25"/>
      <c r="B685" s="21"/>
      <c r="C685" s="21"/>
      <c r="D685" s="26" t="str">
        <f aca="false">IF(C685="","",IFERROR(INDEX('Cadastro Mestre'!$C$5:$C$504,MATCH(C685,'Cadastro Mestre'!$A$5:$A$504,0)),"código não encontrado"))</f>
        <v/>
      </c>
      <c r="E685" s="24" t="str">
        <f aca="false">IF(C685="","",IFERROR(INDEX('Cadastro Mestre'!$Q$5:$Q$504,MATCH(C685,'Cadastro Mestre'!$A$5:$A$504,0)),""))</f>
        <v/>
      </c>
      <c r="F685" s="21"/>
      <c r="G685" s="21"/>
      <c r="H685" s="21"/>
      <c r="I685" s="21"/>
    </row>
    <row r="686" customFormat="false" ht="15" hidden="false" customHeight="false" outlineLevel="0" collapsed="false">
      <c r="A686" s="25"/>
      <c r="B686" s="21"/>
      <c r="C686" s="21"/>
      <c r="D686" s="26" t="str">
        <f aca="false">IF(C686="","",IFERROR(INDEX('Cadastro Mestre'!$C$5:$C$504,MATCH(C686,'Cadastro Mestre'!$A$5:$A$504,0)),"código não encontrado"))</f>
        <v/>
      </c>
      <c r="E686" s="24" t="str">
        <f aca="false">IF(C686="","",IFERROR(INDEX('Cadastro Mestre'!$Q$5:$Q$504,MATCH(C686,'Cadastro Mestre'!$A$5:$A$504,0)),""))</f>
        <v/>
      </c>
      <c r="F686" s="21"/>
      <c r="G686" s="21"/>
      <c r="H686" s="21"/>
      <c r="I686" s="21"/>
    </row>
    <row r="687" customFormat="false" ht="15" hidden="false" customHeight="false" outlineLevel="0" collapsed="false">
      <c r="A687" s="25"/>
      <c r="B687" s="21"/>
      <c r="C687" s="21"/>
      <c r="D687" s="26" t="str">
        <f aca="false">IF(C687="","",IFERROR(INDEX('Cadastro Mestre'!$C$5:$C$504,MATCH(C687,'Cadastro Mestre'!$A$5:$A$504,0)),"código não encontrado"))</f>
        <v/>
      </c>
      <c r="E687" s="24" t="str">
        <f aca="false">IF(C687="","",IFERROR(INDEX('Cadastro Mestre'!$Q$5:$Q$504,MATCH(C687,'Cadastro Mestre'!$A$5:$A$504,0)),""))</f>
        <v/>
      </c>
      <c r="F687" s="21"/>
      <c r="G687" s="21"/>
      <c r="H687" s="21"/>
      <c r="I687" s="21"/>
    </row>
    <row r="688" customFormat="false" ht="15" hidden="false" customHeight="false" outlineLevel="0" collapsed="false">
      <c r="A688" s="25"/>
      <c r="B688" s="21"/>
      <c r="C688" s="21"/>
      <c r="D688" s="26" t="str">
        <f aca="false">IF(C688="","",IFERROR(INDEX('Cadastro Mestre'!$C$5:$C$504,MATCH(C688,'Cadastro Mestre'!$A$5:$A$504,0)),"código não encontrado"))</f>
        <v/>
      </c>
      <c r="E688" s="24" t="str">
        <f aca="false">IF(C688="","",IFERROR(INDEX('Cadastro Mestre'!$Q$5:$Q$504,MATCH(C688,'Cadastro Mestre'!$A$5:$A$504,0)),""))</f>
        <v/>
      </c>
      <c r="F688" s="21"/>
      <c r="G688" s="21"/>
      <c r="H688" s="21"/>
      <c r="I688" s="21"/>
    </row>
    <row r="689" customFormat="false" ht="15" hidden="false" customHeight="false" outlineLevel="0" collapsed="false">
      <c r="A689" s="25"/>
      <c r="B689" s="21"/>
      <c r="C689" s="21"/>
      <c r="D689" s="26" t="str">
        <f aca="false">IF(C689="","",IFERROR(INDEX('Cadastro Mestre'!$C$5:$C$504,MATCH(C689,'Cadastro Mestre'!$A$5:$A$504,0)),"código não encontrado"))</f>
        <v/>
      </c>
      <c r="E689" s="24" t="str">
        <f aca="false">IF(C689="","",IFERROR(INDEX('Cadastro Mestre'!$Q$5:$Q$504,MATCH(C689,'Cadastro Mestre'!$A$5:$A$504,0)),""))</f>
        <v/>
      </c>
      <c r="F689" s="21"/>
      <c r="G689" s="21"/>
      <c r="H689" s="21"/>
      <c r="I689" s="21"/>
    </row>
    <row r="690" customFormat="false" ht="15" hidden="false" customHeight="false" outlineLevel="0" collapsed="false">
      <c r="A690" s="25"/>
      <c r="B690" s="21"/>
      <c r="C690" s="21"/>
      <c r="D690" s="26" t="str">
        <f aca="false">IF(C690="","",IFERROR(INDEX('Cadastro Mestre'!$C$5:$C$504,MATCH(C690,'Cadastro Mestre'!$A$5:$A$504,0)),"código não encontrado"))</f>
        <v/>
      </c>
      <c r="E690" s="24" t="str">
        <f aca="false">IF(C690="","",IFERROR(INDEX('Cadastro Mestre'!$Q$5:$Q$504,MATCH(C690,'Cadastro Mestre'!$A$5:$A$504,0)),""))</f>
        <v/>
      </c>
      <c r="F690" s="21"/>
      <c r="G690" s="21"/>
      <c r="H690" s="21"/>
      <c r="I690" s="21"/>
    </row>
    <row r="691" customFormat="false" ht="15" hidden="false" customHeight="false" outlineLevel="0" collapsed="false">
      <c r="A691" s="25"/>
      <c r="B691" s="21"/>
      <c r="C691" s="21"/>
      <c r="D691" s="26" t="str">
        <f aca="false">IF(C691="","",IFERROR(INDEX('Cadastro Mestre'!$C$5:$C$504,MATCH(C691,'Cadastro Mestre'!$A$5:$A$504,0)),"código não encontrado"))</f>
        <v/>
      </c>
      <c r="E691" s="24" t="str">
        <f aca="false">IF(C691="","",IFERROR(INDEX('Cadastro Mestre'!$Q$5:$Q$504,MATCH(C691,'Cadastro Mestre'!$A$5:$A$504,0)),""))</f>
        <v/>
      </c>
      <c r="F691" s="21"/>
      <c r="G691" s="21"/>
      <c r="H691" s="21"/>
      <c r="I691" s="21"/>
    </row>
    <row r="692" customFormat="false" ht="15" hidden="false" customHeight="false" outlineLevel="0" collapsed="false">
      <c r="A692" s="25"/>
      <c r="B692" s="21"/>
      <c r="C692" s="21"/>
      <c r="D692" s="26" t="str">
        <f aca="false">IF(C692="","",IFERROR(INDEX('Cadastro Mestre'!$C$5:$C$504,MATCH(C692,'Cadastro Mestre'!$A$5:$A$504,0)),"código não encontrado"))</f>
        <v/>
      </c>
      <c r="E692" s="24" t="str">
        <f aca="false">IF(C692="","",IFERROR(INDEX('Cadastro Mestre'!$Q$5:$Q$504,MATCH(C692,'Cadastro Mestre'!$A$5:$A$504,0)),""))</f>
        <v/>
      </c>
      <c r="F692" s="21"/>
      <c r="G692" s="21"/>
      <c r="H692" s="21"/>
      <c r="I692" s="21"/>
    </row>
    <row r="693" customFormat="false" ht="15" hidden="false" customHeight="false" outlineLevel="0" collapsed="false">
      <c r="A693" s="25"/>
      <c r="B693" s="21"/>
      <c r="C693" s="21"/>
      <c r="D693" s="26" t="str">
        <f aca="false">IF(C693="","",IFERROR(INDEX('Cadastro Mestre'!$C$5:$C$504,MATCH(C693,'Cadastro Mestre'!$A$5:$A$504,0)),"código não encontrado"))</f>
        <v/>
      </c>
      <c r="E693" s="24" t="str">
        <f aca="false">IF(C693="","",IFERROR(INDEX('Cadastro Mestre'!$Q$5:$Q$504,MATCH(C693,'Cadastro Mestre'!$A$5:$A$504,0)),""))</f>
        <v/>
      </c>
      <c r="F693" s="21"/>
      <c r="G693" s="21"/>
      <c r="H693" s="21"/>
      <c r="I693" s="21"/>
    </row>
    <row r="694" customFormat="false" ht="15" hidden="false" customHeight="false" outlineLevel="0" collapsed="false">
      <c r="A694" s="25"/>
      <c r="B694" s="21"/>
      <c r="C694" s="21"/>
      <c r="D694" s="26" t="str">
        <f aca="false">IF(C694="","",IFERROR(INDEX('Cadastro Mestre'!$C$5:$C$504,MATCH(C694,'Cadastro Mestre'!$A$5:$A$504,0)),"código não encontrado"))</f>
        <v/>
      </c>
      <c r="E694" s="24" t="str">
        <f aca="false">IF(C694="","",IFERROR(INDEX('Cadastro Mestre'!$Q$5:$Q$504,MATCH(C694,'Cadastro Mestre'!$A$5:$A$504,0)),""))</f>
        <v/>
      </c>
      <c r="F694" s="21"/>
      <c r="G694" s="21"/>
      <c r="H694" s="21"/>
      <c r="I694" s="21"/>
    </row>
    <row r="695" customFormat="false" ht="15" hidden="false" customHeight="false" outlineLevel="0" collapsed="false">
      <c r="A695" s="25"/>
      <c r="B695" s="21"/>
      <c r="C695" s="21"/>
      <c r="D695" s="26" t="str">
        <f aca="false">IF(C695="","",IFERROR(INDEX('Cadastro Mestre'!$C$5:$C$504,MATCH(C695,'Cadastro Mestre'!$A$5:$A$504,0)),"código não encontrado"))</f>
        <v/>
      </c>
      <c r="E695" s="24" t="str">
        <f aca="false">IF(C695="","",IFERROR(INDEX('Cadastro Mestre'!$Q$5:$Q$504,MATCH(C695,'Cadastro Mestre'!$A$5:$A$504,0)),""))</f>
        <v/>
      </c>
      <c r="F695" s="21"/>
      <c r="G695" s="21"/>
      <c r="H695" s="21"/>
      <c r="I695" s="21"/>
    </row>
    <row r="696" customFormat="false" ht="15" hidden="false" customHeight="false" outlineLevel="0" collapsed="false">
      <c r="A696" s="25"/>
      <c r="B696" s="21"/>
      <c r="C696" s="21"/>
      <c r="D696" s="26" t="str">
        <f aca="false">IF(C696="","",IFERROR(INDEX('Cadastro Mestre'!$C$5:$C$504,MATCH(C696,'Cadastro Mestre'!$A$5:$A$504,0)),"código não encontrado"))</f>
        <v/>
      </c>
      <c r="E696" s="24" t="str">
        <f aca="false">IF(C696="","",IFERROR(INDEX('Cadastro Mestre'!$Q$5:$Q$504,MATCH(C696,'Cadastro Mestre'!$A$5:$A$504,0)),""))</f>
        <v/>
      </c>
      <c r="F696" s="21"/>
      <c r="G696" s="21"/>
      <c r="H696" s="21"/>
      <c r="I696" s="21"/>
    </row>
    <row r="697" customFormat="false" ht="15" hidden="false" customHeight="false" outlineLevel="0" collapsed="false">
      <c r="A697" s="25"/>
      <c r="B697" s="21"/>
      <c r="C697" s="21"/>
      <c r="D697" s="26" t="str">
        <f aca="false">IF(C697="","",IFERROR(INDEX('Cadastro Mestre'!$C$5:$C$504,MATCH(C697,'Cadastro Mestre'!$A$5:$A$504,0)),"código não encontrado"))</f>
        <v/>
      </c>
      <c r="E697" s="24" t="str">
        <f aca="false">IF(C697="","",IFERROR(INDEX('Cadastro Mestre'!$Q$5:$Q$504,MATCH(C697,'Cadastro Mestre'!$A$5:$A$504,0)),""))</f>
        <v/>
      </c>
      <c r="F697" s="21"/>
      <c r="G697" s="21"/>
      <c r="H697" s="21"/>
      <c r="I697" s="21"/>
    </row>
    <row r="698" customFormat="false" ht="15" hidden="false" customHeight="false" outlineLevel="0" collapsed="false">
      <c r="A698" s="25"/>
      <c r="B698" s="21"/>
      <c r="C698" s="21"/>
      <c r="D698" s="26" t="str">
        <f aca="false">IF(C698="","",IFERROR(INDEX('Cadastro Mestre'!$C$5:$C$504,MATCH(C698,'Cadastro Mestre'!$A$5:$A$504,0)),"código não encontrado"))</f>
        <v/>
      </c>
      <c r="E698" s="24" t="str">
        <f aca="false">IF(C698="","",IFERROR(INDEX('Cadastro Mestre'!$Q$5:$Q$504,MATCH(C698,'Cadastro Mestre'!$A$5:$A$504,0)),""))</f>
        <v/>
      </c>
      <c r="F698" s="21"/>
      <c r="G698" s="21"/>
      <c r="H698" s="21"/>
      <c r="I698" s="21"/>
    </row>
    <row r="699" customFormat="false" ht="15" hidden="false" customHeight="false" outlineLevel="0" collapsed="false">
      <c r="A699" s="25"/>
      <c r="B699" s="21"/>
      <c r="C699" s="21"/>
      <c r="D699" s="26" t="str">
        <f aca="false">IF(C699="","",IFERROR(INDEX('Cadastro Mestre'!$C$5:$C$504,MATCH(C699,'Cadastro Mestre'!$A$5:$A$504,0)),"código não encontrado"))</f>
        <v/>
      </c>
      <c r="E699" s="24" t="str">
        <f aca="false">IF(C699="","",IFERROR(INDEX('Cadastro Mestre'!$Q$5:$Q$504,MATCH(C699,'Cadastro Mestre'!$A$5:$A$504,0)),""))</f>
        <v/>
      </c>
      <c r="F699" s="21"/>
      <c r="G699" s="21"/>
      <c r="H699" s="21"/>
      <c r="I699" s="21"/>
    </row>
    <row r="700" customFormat="false" ht="15" hidden="false" customHeight="false" outlineLevel="0" collapsed="false">
      <c r="A700" s="25"/>
      <c r="B700" s="21"/>
      <c r="C700" s="21"/>
      <c r="D700" s="26" t="str">
        <f aca="false">IF(C700="","",IFERROR(INDEX('Cadastro Mestre'!$C$5:$C$504,MATCH(C700,'Cadastro Mestre'!$A$5:$A$504,0)),"código não encontrado"))</f>
        <v/>
      </c>
      <c r="E700" s="24" t="str">
        <f aca="false">IF(C700="","",IFERROR(INDEX('Cadastro Mestre'!$Q$5:$Q$504,MATCH(C700,'Cadastro Mestre'!$A$5:$A$504,0)),""))</f>
        <v/>
      </c>
      <c r="F700" s="21"/>
      <c r="G700" s="21"/>
      <c r="H700" s="21"/>
      <c r="I700" s="21"/>
    </row>
    <row r="701" customFormat="false" ht="15" hidden="false" customHeight="false" outlineLevel="0" collapsed="false">
      <c r="A701" s="25"/>
      <c r="B701" s="21"/>
      <c r="C701" s="21"/>
      <c r="D701" s="26" t="str">
        <f aca="false">IF(C701="","",IFERROR(INDEX('Cadastro Mestre'!$C$5:$C$504,MATCH(C701,'Cadastro Mestre'!$A$5:$A$504,0)),"código não encontrado"))</f>
        <v/>
      </c>
      <c r="E701" s="24" t="str">
        <f aca="false">IF(C701="","",IFERROR(INDEX('Cadastro Mestre'!$Q$5:$Q$504,MATCH(C701,'Cadastro Mestre'!$A$5:$A$504,0)),""))</f>
        <v/>
      </c>
      <c r="F701" s="21"/>
      <c r="G701" s="21"/>
      <c r="H701" s="21"/>
      <c r="I701" s="21"/>
    </row>
    <row r="702" customFormat="false" ht="15" hidden="false" customHeight="false" outlineLevel="0" collapsed="false">
      <c r="A702" s="25"/>
      <c r="B702" s="21"/>
      <c r="C702" s="21"/>
      <c r="D702" s="26" t="str">
        <f aca="false">IF(C702="","",IFERROR(INDEX('Cadastro Mestre'!$C$5:$C$504,MATCH(C702,'Cadastro Mestre'!$A$5:$A$504,0)),"código não encontrado"))</f>
        <v/>
      </c>
      <c r="E702" s="24" t="str">
        <f aca="false">IF(C702="","",IFERROR(INDEX('Cadastro Mestre'!$Q$5:$Q$504,MATCH(C702,'Cadastro Mestre'!$A$5:$A$504,0)),""))</f>
        <v/>
      </c>
      <c r="F702" s="21"/>
      <c r="G702" s="21"/>
      <c r="H702" s="21"/>
      <c r="I702" s="21"/>
    </row>
    <row r="703" customFormat="false" ht="15" hidden="false" customHeight="false" outlineLevel="0" collapsed="false">
      <c r="A703" s="25"/>
      <c r="B703" s="21"/>
      <c r="C703" s="21"/>
      <c r="D703" s="26" t="str">
        <f aca="false">IF(C703="","",IFERROR(INDEX('Cadastro Mestre'!$C$5:$C$504,MATCH(C703,'Cadastro Mestre'!$A$5:$A$504,0)),"código não encontrado"))</f>
        <v/>
      </c>
      <c r="E703" s="24" t="str">
        <f aca="false">IF(C703="","",IFERROR(INDEX('Cadastro Mestre'!$Q$5:$Q$504,MATCH(C703,'Cadastro Mestre'!$A$5:$A$504,0)),""))</f>
        <v/>
      </c>
      <c r="F703" s="21"/>
      <c r="G703" s="21"/>
      <c r="H703" s="21"/>
      <c r="I703" s="21"/>
    </row>
    <row r="704" customFormat="false" ht="15" hidden="false" customHeight="false" outlineLevel="0" collapsed="false">
      <c r="A704" s="25"/>
      <c r="B704" s="21"/>
      <c r="C704" s="21"/>
      <c r="D704" s="26" t="str">
        <f aca="false">IF(C704="","",IFERROR(INDEX('Cadastro Mestre'!$C$5:$C$504,MATCH(C704,'Cadastro Mestre'!$A$5:$A$504,0)),"código não encontrado"))</f>
        <v/>
      </c>
      <c r="E704" s="24" t="str">
        <f aca="false">IF(C704="","",IFERROR(INDEX('Cadastro Mestre'!$Q$5:$Q$504,MATCH(C704,'Cadastro Mestre'!$A$5:$A$504,0)),""))</f>
        <v/>
      </c>
      <c r="F704" s="21"/>
      <c r="G704" s="21"/>
      <c r="H704" s="21"/>
      <c r="I704" s="21"/>
    </row>
    <row r="705" customFormat="false" ht="15" hidden="false" customHeight="false" outlineLevel="0" collapsed="false">
      <c r="A705" s="25"/>
      <c r="B705" s="21"/>
      <c r="C705" s="21"/>
      <c r="D705" s="26" t="str">
        <f aca="false">IF(C705="","",IFERROR(INDEX('Cadastro Mestre'!$C$5:$C$504,MATCH(C705,'Cadastro Mestre'!$A$5:$A$504,0)),"código não encontrado"))</f>
        <v/>
      </c>
      <c r="E705" s="24" t="str">
        <f aca="false">IF(C705="","",IFERROR(INDEX('Cadastro Mestre'!$Q$5:$Q$504,MATCH(C705,'Cadastro Mestre'!$A$5:$A$504,0)),""))</f>
        <v/>
      </c>
      <c r="F705" s="21"/>
      <c r="G705" s="21"/>
      <c r="H705" s="21"/>
      <c r="I705" s="21"/>
    </row>
    <row r="706" customFormat="false" ht="15" hidden="false" customHeight="false" outlineLevel="0" collapsed="false">
      <c r="A706" s="25"/>
      <c r="B706" s="21"/>
      <c r="C706" s="21"/>
      <c r="D706" s="26" t="str">
        <f aca="false">IF(C706="","",IFERROR(INDEX('Cadastro Mestre'!$C$5:$C$504,MATCH(C706,'Cadastro Mestre'!$A$5:$A$504,0)),"código não encontrado"))</f>
        <v/>
      </c>
      <c r="E706" s="24" t="str">
        <f aca="false">IF(C706="","",IFERROR(INDEX('Cadastro Mestre'!$Q$5:$Q$504,MATCH(C706,'Cadastro Mestre'!$A$5:$A$504,0)),""))</f>
        <v/>
      </c>
      <c r="F706" s="21"/>
      <c r="G706" s="21"/>
      <c r="H706" s="21"/>
      <c r="I706" s="21"/>
    </row>
    <row r="707" customFormat="false" ht="15" hidden="false" customHeight="false" outlineLevel="0" collapsed="false">
      <c r="A707" s="25"/>
      <c r="B707" s="21"/>
      <c r="C707" s="21"/>
      <c r="D707" s="26" t="str">
        <f aca="false">IF(C707="","",IFERROR(INDEX('Cadastro Mestre'!$C$5:$C$504,MATCH(C707,'Cadastro Mestre'!$A$5:$A$504,0)),"código não encontrado"))</f>
        <v/>
      </c>
      <c r="E707" s="24" t="str">
        <f aca="false">IF(C707="","",IFERROR(INDEX('Cadastro Mestre'!$Q$5:$Q$504,MATCH(C707,'Cadastro Mestre'!$A$5:$A$504,0)),""))</f>
        <v/>
      </c>
      <c r="F707" s="21"/>
      <c r="G707" s="21"/>
      <c r="H707" s="21"/>
      <c r="I707" s="21"/>
    </row>
    <row r="708" customFormat="false" ht="15" hidden="false" customHeight="false" outlineLevel="0" collapsed="false">
      <c r="A708" s="25"/>
      <c r="B708" s="21"/>
      <c r="C708" s="21"/>
      <c r="D708" s="26" t="str">
        <f aca="false">IF(C708="","",IFERROR(INDEX('Cadastro Mestre'!$C$5:$C$504,MATCH(C708,'Cadastro Mestre'!$A$5:$A$504,0)),"código não encontrado"))</f>
        <v/>
      </c>
      <c r="E708" s="24" t="str">
        <f aca="false">IF(C708="","",IFERROR(INDEX('Cadastro Mestre'!$Q$5:$Q$504,MATCH(C708,'Cadastro Mestre'!$A$5:$A$504,0)),""))</f>
        <v/>
      </c>
      <c r="F708" s="21"/>
      <c r="G708" s="21"/>
      <c r="H708" s="21"/>
      <c r="I708" s="21"/>
    </row>
    <row r="709" customFormat="false" ht="15" hidden="false" customHeight="false" outlineLevel="0" collapsed="false">
      <c r="A709" s="25"/>
      <c r="B709" s="21"/>
      <c r="C709" s="21"/>
      <c r="D709" s="26" t="str">
        <f aca="false">IF(C709="","",IFERROR(INDEX('Cadastro Mestre'!$C$5:$C$504,MATCH(C709,'Cadastro Mestre'!$A$5:$A$504,0)),"código não encontrado"))</f>
        <v/>
      </c>
      <c r="E709" s="24" t="str">
        <f aca="false">IF(C709="","",IFERROR(INDEX('Cadastro Mestre'!$Q$5:$Q$504,MATCH(C709,'Cadastro Mestre'!$A$5:$A$504,0)),""))</f>
        <v/>
      </c>
      <c r="F709" s="21"/>
      <c r="G709" s="21"/>
      <c r="H709" s="21"/>
      <c r="I709" s="21"/>
    </row>
    <row r="710" customFormat="false" ht="15" hidden="false" customHeight="false" outlineLevel="0" collapsed="false">
      <c r="A710" s="25"/>
      <c r="B710" s="21"/>
      <c r="C710" s="21"/>
      <c r="D710" s="26" t="str">
        <f aca="false">IF(C710="","",IFERROR(INDEX('Cadastro Mestre'!$C$5:$C$504,MATCH(C710,'Cadastro Mestre'!$A$5:$A$504,0)),"código não encontrado"))</f>
        <v/>
      </c>
      <c r="E710" s="24" t="str">
        <f aca="false">IF(C710="","",IFERROR(INDEX('Cadastro Mestre'!$Q$5:$Q$504,MATCH(C710,'Cadastro Mestre'!$A$5:$A$504,0)),""))</f>
        <v/>
      </c>
      <c r="F710" s="21"/>
      <c r="G710" s="21"/>
      <c r="H710" s="21"/>
      <c r="I710" s="21"/>
    </row>
    <row r="711" customFormat="false" ht="15" hidden="false" customHeight="false" outlineLevel="0" collapsed="false">
      <c r="A711" s="25"/>
      <c r="B711" s="21"/>
      <c r="C711" s="21"/>
      <c r="D711" s="26" t="str">
        <f aca="false">IF(C711="","",IFERROR(INDEX('Cadastro Mestre'!$C$5:$C$504,MATCH(C711,'Cadastro Mestre'!$A$5:$A$504,0)),"código não encontrado"))</f>
        <v/>
      </c>
      <c r="E711" s="24" t="str">
        <f aca="false">IF(C711="","",IFERROR(INDEX('Cadastro Mestre'!$Q$5:$Q$504,MATCH(C711,'Cadastro Mestre'!$A$5:$A$504,0)),""))</f>
        <v/>
      </c>
      <c r="F711" s="21"/>
      <c r="G711" s="21"/>
      <c r="H711" s="21"/>
      <c r="I711" s="21"/>
    </row>
    <row r="712" customFormat="false" ht="15" hidden="false" customHeight="false" outlineLevel="0" collapsed="false">
      <c r="A712" s="25"/>
      <c r="B712" s="21"/>
      <c r="C712" s="21"/>
      <c r="D712" s="26" t="str">
        <f aca="false">IF(C712="","",IFERROR(INDEX('Cadastro Mestre'!$C$5:$C$504,MATCH(C712,'Cadastro Mestre'!$A$5:$A$504,0)),"código não encontrado"))</f>
        <v/>
      </c>
      <c r="E712" s="24" t="str">
        <f aca="false">IF(C712="","",IFERROR(INDEX('Cadastro Mestre'!$Q$5:$Q$504,MATCH(C712,'Cadastro Mestre'!$A$5:$A$504,0)),""))</f>
        <v/>
      </c>
      <c r="F712" s="21"/>
      <c r="G712" s="21"/>
      <c r="H712" s="21"/>
      <c r="I712" s="21"/>
    </row>
    <row r="713" customFormat="false" ht="15" hidden="false" customHeight="false" outlineLevel="0" collapsed="false">
      <c r="A713" s="25"/>
      <c r="B713" s="21"/>
      <c r="C713" s="21"/>
      <c r="D713" s="26" t="str">
        <f aca="false">IF(C713="","",IFERROR(INDEX('Cadastro Mestre'!$C$5:$C$504,MATCH(C713,'Cadastro Mestre'!$A$5:$A$504,0)),"código não encontrado"))</f>
        <v/>
      </c>
      <c r="E713" s="24" t="str">
        <f aca="false">IF(C713="","",IFERROR(INDEX('Cadastro Mestre'!$Q$5:$Q$504,MATCH(C713,'Cadastro Mestre'!$A$5:$A$504,0)),""))</f>
        <v/>
      </c>
      <c r="F713" s="21"/>
      <c r="G713" s="21"/>
      <c r="H713" s="21"/>
      <c r="I713" s="21"/>
    </row>
    <row r="714" customFormat="false" ht="15" hidden="false" customHeight="false" outlineLevel="0" collapsed="false">
      <c r="A714" s="25"/>
      <c r="B714" s="21"/>
      <c r="C714" s="21"/>
      <c r="D714" s="26" t="str">
        <f aca="false">IF(C714="","",IFERROR(INDEX('Cadastro Mestre'!$C$5:$C$504,MATCH(C714,'Cadastro Mestre'!$A$5:$A$504,0)),"código não encontrado"))</f>
        <v/>
      </c>
      <c r="E714" s="24" t="str">
        <f aca="false">IF(C714="","",IFERROR(INDEX('Cadastro Mestre'!$Q$5:$Q$504,MATCH(C714,'Cadastro Mestre'!$A$5:$A$504,0)),""))</f>
        <v/>
      </c>
      <c r="F714" s="21"/>
      <c r="G714" s="21"/>
      <c r="H714" s="21"/>
      <c r="I714" s="21"/>
    </row>
    <row r="715" customFormat="false" ht="15" hidden="false" customHeight="false" outlineLevel="0" collapsed="false">
      <c r="A715" s="25"/>
      <c r="B715" s="21"/>
      <c r="C715" s="21"/>
      <c r="D715" s="26" t="str">
        <f aca="false">IF(C715="","",IFERROR(INDEX('Cadastro Mestre'!$C$5:$C$504,MATCH(C715,'Cadastro Mestre'!$A$5:$A$504,0)),"código não encontrado"))</f>
        <v/>
      </c>
      <c r="E715" s="24" t="str">
        <f aca="false">IF(C715="","",IFERROR(INDEX('Cadastro Mestre'!$Q$5:$Q$504,MATCH(C715,'Cadastro Mestre'!$A$5:$A$504,0)),""))</f>
        <v/>
      </c>
      <c r="F715" s="21"/>
      <c r="G715" s="21"/>
      <c r="H715" s="21"/>
      <c r="I715" s="21"/>
    </row>
    <row r="716" customFormat="false" ht="15" hidden="false" customHeight="false" outlineLevel="0" collapsed="false">
      <c r="A716" s="25"/>
      <c r="B716" s="21"/>
      <c r="C716" s="21"/>
      <c r="D716" s="26" t="str">
        <f aca="false">IF(C716="","",IFERROR(INDEX('Cadastro Mestre'!$C$5:$C$504,MATCH(C716,'Cadastro Mestre'!$A$5:$A$504,0)),"código não encontrado"))</f>
        <v/>
      </c>
      <c r="E716" s="24" t="str">
        <f aca="false">IF(C716="","",IFERROR(INDEX('Cadastro Mestre'!$Q$5:$Q$504,MATCH(C716,'Cadastro Mestre'!$A$5:$A$504,0)),""))</f>
        <v/>
      </c>
      <c r="F716" s="21"/>
      <c r="G716" s="21"/>
      <c r="H716" s="21"/>
      <c r="I716" s="21"/>
    </row>
    <row r="717" customFormat="false" ht="15" hidden="false" customHeight="false" outlineLevel="0" collapsed="false">
      <c r="A717" s="25"/>
      <c r="B717" s="21"/>
      <c r="C717" s="21"/>
      <c r="D717" s="26" t="str">
        <f aca="false">IF(C717="","",IFERROR(INDEX('Cadastro Mestre'!$C$5:$C$504,MATCH(C717,'Cadastro Mestre'!$A$5:$A$504,0)),"código não encontrado"))</f>
        <v/>
      </c>
      <c r="E717" s="24" t="str">
        <f aca="false">IF(C717="","",IFERROR(INDEX('Cadastro Mestre'!$Q$5:$Q$504,MATCH(C717,'Cadastro Mestre'!$A$5:$A$504,0)),""))</f>
        <v/>
      </c>
      <c r="F717" s="21"/>
      <c r="G717" s="21"/>
      <c r="H717" s="21"/>
      <c r="I717" s="21"/>
    </row>
    <row r="718" customFormat="false" ht="15" hidden="false" customHeight="false" outlineLevel="0" collapsed="false">
      <c r="A718" s="25"/>
      <c r="B718" s="21"/>
      <c r="C718" s="21"/>
      <c r="D718" s="26" t="str">
        <f aca="false">IF(C718="","",IFERROR(INDEX('Cadastro Mestre'!$C$5:$C$504,MATCH(C718,'Cadastro Mestre'!$A$5:$A$504,0)),"código não encontrado"))</f>
        <v/>
      </c>
      <c r="E718" s="24" t="str">
        <f aca="false">IF(C718="","",IFERROR(INDEX('Cadastro Mestre'!$Q$5:$Q$504,MATCH(C718,'Cadastro Mestre'!$A$5:$A$504,0)),""))</f>
        <v/>
      </c>
      <c r="F718" s="21"/>
      <c r="G718" s="21"/>
      <c r="H718" s="21"/>
      <c r="I718" s="21"/>
    </row>
    <row r="719" customFormat="false" ht="15" hidden="false" customHeight="false" outlineLevel="0" collapsed="false">
      <c r="A719" s="25"/>
      <c r="B719" s="21"/>
      <c r="C719" s="21"/>
      <c r="D719" s="26" t="str">
        <f aca="false">IF(C719="","",IFERROR(INDEX('Cadastro Mestre'!$C$5:$C$504,MATCH(C719,'Cadastro Mestre'!$A$5:$A$504,0)),"código não encontrado"))</f>
        <v/>
      </c>
      <c r="E719" s="24" t="str">
        <f aca="false">IF(C719="","",IFERROR(INDEX('Cadastro Mestre'!$Q$5:$Q$504,MATCH(C719,'Cadastro Mestre'!$A$5:$A$504,0)),""))</f>
        <v/>
      </c>
      <c r="F719" s="21"/>
      <c r="G719" s="21"/>
      <c r="H719" s="21"/>
      <c r="I719" s="21"/>
    </row>
    <row r="720" customFormat="false" ht="15" hidden="false" customHeight="false" outlineLevel="0" collapsed="false">
      <c r="A720" s="25"/>
      <c r="B720" s="21"/>
      <c r="C720" s="21"/>
      <c r="D720" s="26" t="str">
        <f aca="false">IF(C720="","",IFERROR(INDEX('Cadastro Mestre'!$C$5:$C$504,MATCH(C720,'Cadastro Mestre'!$A$5:$A$504,0)),"código não encontrado"))</f>
        <v/>
      </c>
      <c r="E720" s="24" t="str">
        <f aca="false">IF(C720="","",IFERROR(INDEX('Cadastro Mestre'!$Q$5:$Q$504,MATCH(C720,'Cadastro Mestre'!$A$5:$A$504,0)),""))</f>
        <v/>
      </c>
      <c r="F720" s="21"/>
      <c r="G720" s="21"/>
      <c r="H720" s="21"/>
      <c r="I720" s="21"/>
    </row>
    <row r="721" customFormat="false" ht="15" hidden="false" customHeight="false" outlineLevel="0" collapsed="false">
      <c r="A721" s="25"/>
      <c r="B721" s="21"/>
      <c r="C721" s="21"/>
      <c r="D721" s="26" t="str">
        <f aca="false">IF(C721="","",IFERROR(INDEX('Cadastro Mestre'!$C$5:$C$504,MATCH(C721,'Cadastro Mestre'!$A$5:$A$504,0)),"código não encontrado"))</f>
        <v/>
      </c>
      <c r="E721" s="24" t="str">
        <f aca="false">IF(C721="","",IFERROR(INDEX('Cadastro Mestre'!$Q$5:$Q$504,MATCH(C721,'Cadastro Mestre'!$A$5:$A$504,0)),""))</f>
        <v/>
      </c>
      <c r="F721" s="21"/>
      <c r="G721" s="21"/>
      <c r="H721" s="21"/>
      <c r="I721" s="21"/>
    </row>
    <row r="722" customFormat="false" ht="15" hidden="false" customHeight="false" outlineLevel="0" collapsed="false">
      <c r="A722" s="25"/>
      <c r="B722" s="21"/>
      <c r="C722" s="21"/>
      <c r="D722" s="26" t="str">
        <f aca="false">IF(C722="","",IFERROR(INDEX('Cadastro Mestre'!$C$5:$C$504,MATCH(C722,'Cadastro Mestre'!$A$5:$A$504,0)),"código não encontrado"))</f>
        <v/>
      </c>
      <c r="E722" s="24" t="str">
        <f aca="false">IF(C722="","",IFERROR(INDEX('Cadastro Mestre'!$Q$5:$Q$504,MATCH(C722,'Cadastro Mestre'!$A$5:$A$504,0)),""))</f>
        <v/>
      </c>
      <c r="F722" s="21"/>
      <c r="G722" s="21"/>
      <c r="H722" s="21"/>
      <c r="I722" s="21"/>
    </row>
    <row r="723" customFormat="false" ht="15" hidden="false" customHeight="false" outlineLevel="0" collapsed="false">
      <c r="A723" s="25"/>
      <c r="B723" s="21"/>
      <c r="C723" s="21"/>
      <c r="D723" s="26" t="str">
        <f aca="false">IF(C723="","",IFERROR(INDEX('Cadastro Mestre'!$C$5:$C$504,MATCH(C723,'Cadastro Mestre'!$A$5:$A$504,0)),"código não encontrado"))</f>
        <v/>
      </c>
      <c r="E723" s="24" t="str">
        <f aca="false">IF(C723="","",IFERROR(INDEX('Cadastro Mestre'!$Q$5:$Q$504,MATCH(C723,'Cadastro Mestre'!$A$5:$A$504,0)),""))</f>
        <v/>
      </c>
      <c r="F723" s="21"/>
      <c r="G723" s="21"/>
      <c r="H723" s="21"/>
      <c r="I723" s="21"/>
    </row>
    <row r="724" customFormat="false" ht="15" hidden="false" customHeight="false" outlineLevel="0" collapsed="false">
      <c r="A724" s="25"/>
      <c r="B724" s="21"/>
      <c r="C724" s="21"/>
      <c r="D724" s="26" t="str">
        <f aca="false">IF(C724="","",IFERROR(INDEX('Cadastro Mestre'!$C$5:$C$504,MATCH(C724,'Cadastro Mestre'!$A$5:$A$504,0)),"código não encontrado"))</f>
        <v/>
      </c>
      <c r="E724" s="24" t="str">
        <f aca="false">IF(C724="","",IFERROR(INDEX('Cadastro Mestre'!$Q$5:$Q$504,MATCH(C724,'Cadastro Mestre'!$A$5:$A$504,0)),""))</f>
        <v/>
      </c>
      <c r="F724" s="21"/>
      <c r="G724" s="21"/>
      <c r="H724" s="21"/>
      <c r="I724" s="21"/>
    </row>
    <row r="725" customFormat="false" ht="15" hidden="false" customHeight="false" outlineLevel="0" collapsed="false">
      <c r="A725" s="25"/>
      <c r="B725" s="21"/>
      <c r="C725" s="21"/>
      <c r="D725" s="26" t="str">
        <f aca="false">IF(C725="","",IFERROR(INDEX('Cadastro Mestre'!$C$5:$C$504,MATCH(C725,'Cadastro Mestre'!$A$5:$A$504,0)),"código não encontrado"))</f>
        <v/>
      </c>
      <c r="E725" s="24" t="str">
        <f aca="false">IF(C725="","",IFERROR(INDEX('Cadastro Mestre'!$Q$5:$Q$504,MATCH(C725,'Cadastro Mestre'!$A$5:$A$504,0)),""))</f>
        <v/>
      </c>
      <c r="F725" s="21"/>
      <c r="G725" s="21"/>
      <c r="H725" s="21"/>
      <c r="I725" s="21"/>
    </row>
    <row r="726" customFormat="false" ht="15" hidden="false" customHeight="false" outlineLevel="0" collapsed="false">
      <c r="A726" s="25"/>
      <c r="B726" s="21"/>
      <c r="C726" s="21"/>
      <c r="D726" s="26" t="str">
        <f aca="false">IF(C726="","",IFERROR(INDEX('Cadastro Mestre'!$C$5:$C$504,MATCH(C726,'Cadastro Mestre'!$A$5:$A$504,0)),"código não encontrado"))</f>
        <v/>
      </c>
      <c r="E726" s="24" t="str">
        <f aca="false">IF(C726="","",IFERROR(INDEX('Cadastro Mestre'!$Q$5:$Q$504,MATCH(C726,'Cadastro Mestre'!$A$5:$A$504,0)),""))</f>
        <v/>
      </c>
      <c r="F726" s="21"/>
      <c r="G726" s="21"/>
      <c r="H726" s="21"/>
      <c r="I726" s="21"/>
    </row>
    <row r="727" customFormat="false" ht="15" hidden="false" customHeight="false" outlineLevel="0" collapsed="false">
      <c r="A727" s="25"/>
      <c r="B727" s="21"/>
      <c r="C727" s="21"/>
      <c r="D727" s="26" t="str">
        <f aca="false">IF(C727="","",IFERROR(INDEX('Cadastro Mestre'!$C$5:$C$504,MATCH(C727,'Cadastro Mestre'!$A$5:$A$504,0)),"código não encontrado"))</f>
        <v/>
      </c>
      <c r="E727" s="24" t="str">
        <f aca="false">IF(C727="","",IFERROR(INDEX('Cadastro Mestre'!$Q$5:$Q$504,MATCH(C727,'Cadastro Mestre'!$A$5:$A$504,0)),""))</f>
        <v/>
      </c>
      <c r="F727" s="21"/>
      <c r="G727" s="21"/>
      <c r="H727" s="21"/>
      <c r="I727" s="21"/>
    </row>
    <row r="728" customFormat="false" ht="15" hidden="false" customHeight="false" outlineLevel="0" collapsed="false">
      <c r="A728" s="25"/>
      <c r="B728" s="21"/>
      <c r="C728" s="21"/>
      <c r="D728" s="26" t="str">
        <f aca="false">IF(C728="","",IFERROR(INDEX('Cadastro Mestre'!$C$5:$C$504,MATCH(C728,'Cadastro Mestre'!$A$5:$A$504,0)),"código não encontrado"))</f>
        <v/>
      </c>
      <c r="E728" s="24" t="str">
        <f aca="false">IF(C728="","",IFERROR(INDEX('Cadastro Mestre'!$Q$5:$Q$504,MATCH(C728,'Cadastro Mestre'!$A$5:$A$504,0)),""))</f>
        <v/>
      </c>
      <c r="F728" s="21"/>
      <c r="G728" s="21"/>
      <c r="H728" s="21"/>
      <c r="I728" s="21"/>
    </row>
    <row r="729" customFormat="false" ht="15" hidden="false" customHeight="false" outlineLevel="0" collapsed="false">
      <c r="A729" s="25"/>
      <c r="B729" s="21"/>
      <c r="C729" s="21"/>
      <c r="D729" s="26" t="str">
        <f aca="false">IF(C729="","",IFERROR(INDEX('Cadastro Mestre'!$C$5:$C$504,MATCH(C729,'Cadastro Mestre'!$A$5:$A$504,0)),"código não encontrado"))</f>
        <v/>
      </c>
      <c r="E729" s="24" t="str">
        <f aca="false">IF(C729="","",IFERROR(INDEX('Cadastro Mestre'!$Q$5:$Q$504,MATCH(C729,'Cadastro Mestre'!$A$5:$A$504,0)),""))</f>
        <v/>
      </c>
      <c r="F729" s="21"/>
      <c r="G729" s="21"/>
      <c r="H729" s="21"/>
      <c r="I729" s="21"/>
    </row>
    <row r="730" customFormat="false" ht="15" hidden="false" customHeight="false" outlineLevel="0" collapsed="false">
      <c r="A730" s="25"/>
      <c r="B730" s="21"/>
      <c r="C730" s="21"/>
      <c r="D730" s="26" t="str">
        <f aca="false">IF(C730="","",IFERROR(INDEX('Cadastro Mestre'!$C$5:$C$504,MATCH(C730,'Cadastro Mestre'!$A$5:$A$504,0)),"código não encontrado"))</f>
        <v/>
      </c>
      <c r="E730" s="24" t="str">
        <f aca="false">IF(C730="","",IFERROR(INDEX('Cadastro Mestre'!$Q$5:$Q$504,MATCH(C730,'Cadastro Mestre'!$A$5:$A$504,0)),""))</f>
        <v/>
      </c>
      <c r="F730" s="21"/>
      <c r="G730" s="21"/>
      <c r="H730" s="21"/>
      <c r="I730" s="21"/>
    </row>
    <row r="731" customFormat="false" ht="15" hidden="false" customHeight="false" outlineLevel="0" collapsed="false">
      <c r="A731" s="25"/>
      <c r="B731" s="21"/>
      <c r="C731" s="21"/>
      <c r="D731" s="26" t="str">
        <f aca="false">IF(C731="","",IFERROR(INDEX('Cadastro Mestre'!$C$5:$C$504,MATCH(C731,'Cadastro Mestre'!$A$5:$A$504,0)),"código não encontrado"))</f>
        <v/>
      </c>
      <c r="E731" s="24" t="str">
        <f aca="false">IF(C731="","",IFERROR(INDEX('Cadastro Mestre'!$Q$5:$Q$504,MATCH(C731,'Cadastro Mestre'!$A$5:$A$504,0)),""))</f>
        <v/>
      </c>
      <c r="F731" s="21"/>
      <c r="G731" s="21"/>
      <c r="H731" s="21"/>
      <c r="I731" s="21"/>
    </row>
    <row r="732" customFormat="false" ht="15" hidden="false" customHeight="false" outlineLevel="0" collapsed="false">
      <c r="A732" s="25"/>
      <c r="B732" s="21"/>
      <c r="C732" s="21"/>
      <c r="D732" s="26" t="str">
        <f aca="false">IF(C732="","",IFERROR(INDEX('Cadastro Mestre'!$C$5:$C$504,MATCH(C732,'Cadastro Mestre'!$A$5:$A$504,0)),"código não encontrado"))</f>
        <v/>
      </c>
      <c r="E732" s="24" t="str">
        <f aca="false">IF(C732="","",IFERROR(INDEX('Cadastro Mestre'!$Q$5:$Q$504,MATCH(C732,'Cadastro Mestre'!$A$5:$A$504,0)),""))</f>
        <v/>
      </c>
      <c r="F732" s="21"/>
      <c r="G732" s="21"/>
      <c r="H732" s="21"/>
      <c r="I732" s="21"/>
    </row>
    <row r="733" customFormat="false" ht="15" hidden="false" customHeight="false" outlineLevel="0" collapsed="false">
      <c r="A733" s="25"/>
      <c r="B733" s="21"/>
      <c r="C733" s="21"/>
      <c r="D733" s="26" t="str">
        <f aca="false">IF(C733="","",IFERROR(INDEX('Cadastro Mestre'!$C$5:$C$504,MATCH(C733,'Cadastro Mestre'!$A$5:$A$504,0)),"código não encontrado"))</f>
        <v/>
      </c>
      <c r="E733" s="24" t="str">
        <f aca="false">IF(C733="","",IFERROR(INDEX('Cadastro Mestre'!$Q$5:$Q$504,MATCH(C733,'Cadastro Mestre'!$A$5:$A$504,0)),""))</f>
        <v/>
      </c>
      <c r="F733" s="21"/>
      <c r="G733" s="21"/>
      <c r="H733" s="21"/>
      <c r="I733" s="21"/>
    </row>
    <row r="734" customFormat="false" ht="15" hidden="false" customHeight="false" outlineLevel="0" collapsed="false">
      <c r="A734" s="25"/>
      <c r="B734" s="21"/>
      <c r="C734" s="21"/>
      <c r="D734" s="26" t="str">
        <f aca="false">IF(C734="","",IFERROR(INDEX('Cadastro Mestre'!$C$5:$C$504,MATCH(C734,'Cadastro Mestre'!$A$5:$A$504,0)),"código não encontrado"))</f>
        <v/>
      </c>
      <c r="E734" s="24" t="str">
        <f aca="false">IF(C734="","",IFERROR(INDEX('Cadastro Mestre'!$Q$5:$Q$504,MATCH(C734,'Cadastro Mestre'!$A$5:$A$504,0)),""))</f>
        <v/>
      </c>
      <c r="F734" s="21"/>
      <c r="G734" s="21"/>
      <c r="H734" s="21"/>
      <c r="I734" s="21"/>
    </row>
    <row r="735" customFormat="false" ht="15" hidden="false" customHeight="false" outlineLevel="0" collapsed="false">
      <c r="A735" s="25"/>
      <c r="B735" s="21"/>
      <c r="C735" s="21"/>
      <c r="D735" s="26" t="str">
        <f aca="false">IF(C735="","",IFERROR(INDEX('Cadastro Mestre'!$C$5:$C$504,MATCH(C735,'Cadastro Mestre'!$A$5:$A$504,0)),"código não encontrado"))</f>
        <v/>
      </c>
      <c r="E735" s="24" t="str">
        <f aca="false">IF(C735="","",IFERROR(INDEX('Cadastro Mestre'!$Q$5:$Q$504,MATCH(C735,'Cadastro Mestre'!$A$5:$A$504,0)),""))</f>
        <v/>
      </c>
      <c r="F735" s="21"/>
      <c r="G735" s="21"/>
      <c r="H735" s="21"/>
      <c r="I735" s="21"/>
    </row>
    <row r="736" customFormat="false" ht="15" hidden="false" customHeight="false" outlineLevel="0" collapsed="false">
      <c r="A736" s="25"/>
      <c r="B736" s="21"/>
      <c r="C736" s="21"/>
      <c r="D736" s="26" t="str">
        <f aca="false">IF(C736="","",IFERROR(INDEX('Cadastro Mestre'!$C$5:$C$504,MATCH(C736,'Cadastro Mestre'!$A$5:$A$504,0)),"código não encontrado"))</f>
        <v/>
      </c>
      <c r="E736" s="24" t="str">
        <f aca="false">IF(C736="","",IFERROR(INDEX('Cadastro Mestre'!$Q$5:$Q$504,MATCH(C736,'Cadastro Mestre'!$A$5:$A$504,0)),""))</f>
        <v/>
      </c>
      <c r="F736" s="21"/>
      <c r="G736" s="21"/>
      <c r="H736" s="21"/>
      <c r="I736" s="21"/>
    </row>
    <row r="737" customFormat="false" ht="15" hidden="false" customHeight="false" outlineLevel="0" collapsed="false">
      <c r="A737" s="25"/>
      <c r="B737" s="21"/>
      <c r="C737" s="21"/>
      <c r="D737" s="26" t="str">
        <f aca="false">IF(C737="","",IFERROR(INDEX('Cadastro Mestre'!$C$5:$C$504,MATCH(C737,'Cadastro Mestre'!$A$5:$A$504,0)),"código não encontrado"))</f>
        <v/>
      </c>
      <c r="E737" s="24" t="str">
        <f aca="false">IF(C737="","",IFERROR(INDEX('Cadastro Mestre'!$Q$5:$Q$504,MATCH(C737,'Cadastro Mestre'!$A$5:$A$504,0)),""))</f>
        <v/>
      </c>
      <c r="F737" s="21"/>
      <c r="G737" s="21"/>
      <c r="H737" s="21"/>
      <c r="I737" s="21"/>
    </row>
    <row r="738" customFormat="false" ht="15" hidden="false" customHeight="false" outlineLevel="0" collapsed="false">
      <c r="A738" s="25"/>
      <c r="B738" s="21"/>
      <c r="C738" s="21"/>
      <c r="D738" s="26" t="str">
        <f aca="false">IF(C738="","",IFERROR(INDEX('Cadastro Mestre'!$C$5:$C$504,MATCH(C738,'Cadastro Mestre'!$A$5:$A$504,0)),"código não encontrado"))</f>
        <v/>
      </c>
      <c r="E738" s="24" t="str">
        <f aca="false">IF(C738="","",IFERROR(INDEX('Cadastro Mestre'!$Q$5:$Q$504,MATCH(C738,'Cadastro Mestre'!$A$5:$A$504,0)),""))</f>
        <v/>
      </c>
      <c r="F738" s="21"/>
      <c r="G738" s="21"/>
      <c r="H738" s="21"/>
      <c r="I738" s="21"/>
    </row>
    <row r="739" customFormat="false" ht="15" hidden="false" customHeight="false" outlineLevel="0" collapsed="false">
      <c r="A739" s="25"/>
      <c r="B739" s="21"/>
      <c r="C739" s="21"/>
      <c r="D739" s="26" t="str">
        <f aca="false">IF(C739="","",IFERROR(INDEX('Cadastro Mestre'!$C$5:$C$504,MATCH(C739,'Cadastro Mestre'!$A$5:$A$504,0)),"código não encontrado"))</f>
        <v/>
      </c>
      <c r="E739" s="24" t="str">
        <f aca="false">IF(C739="","",IFERROR(INDEX('Cadastro Mestre'!$Q$5:$Q$504,MATCH(C739,'Cadastro Mestre'!$A$5:$A$504,0)),""))</f>
        <v/>
      </c>
      <c r="F739" s="21"/>
      <c r="G739" s="21"/>
      <c r="H739" s="21"/>
      <c r="I739" s="21"/>
    </row>
    <row r="740" customFormat="false" ht="15" hidden="false" customHeight="false" outlineLevel="0" collapsed="false">
      <c r="A740" s="25"/>
      <c r="B740" s="21"/>
      <c r="C740" s="21"/>
      <c r="D740" s="26" t="str">
        <f aca="false">IF(C740="","",IFERROR(INDEX('Cadastro Mestre'!$C$5:$C$504,MATCH(C740,'Cadastro Mestre'!$A$5:$A$504,0)),"código não encontrado"))</f>
        <v/>
      </c>
      <c r="E740" s="24" t="str">
        <f aca="false">IF(C740="","",IFERROR(INDEX('Cadastro Mestre'!$Q$5:$Q$504,MATCH(C740,'Cadastro Mestre'!$A$5:$A$504,0)),""))</f>
        <v/>
      </c>
      <c r="F740" s="21"/>
      <c r="G740" s="21"/>
      <c r="H740" s="21"/>
      <c r="I740" s="21"/>
    </row>
    <row r="741" customFormat="false" ht="15" hidden="false" customHeight="false" outlineLevel="0" collapsed="false">
      <c r="A741" s="25"/>
      <c r="B741" s="21"/>
      <c r="C741" s="21"/>
      <c r="D741" s="26" t="str">
        <f aca="false">IF(C741="","",IFERROR(INDEX('Cadastro Mestre'!$C$5:$C$504,MATCH(C741,'Cadastro Mestre'!$A$5:$A$504,0)),"código não encontrado"))</f>
        <v/>
      </c>
      <c r="E741" s="24" t="str">
        <f aca="false">IF(C741="","",IFERROR(INDEX('Cadastro Mestre'!$Q$5:$Q$504,MATCH(C741,'Cadastro Mestre'!$A$5:$A$504,0)),""))</f>
        <v/>
      </c>
      <c r="F741" s="21"/>
      <c r="G741" s="21"/>
      <c r="H741" s="21"/>
      <c r="I741" s="21"/>
    </row>
    <row r="742" customFormat="false" ht="15" hidden="false" customHeight="false" outlineLevel="0" collapsed="false">
      <c r="A742" s="25"/>
      <c r="B742" s="21"/>
      <c r="C742" s="21"/>
      <c r="D742" s="26" t="str">
        <f aca="false">IF(C742="","",IFERROR(INDEX('Cadastro Mestre'!$C$5:$C$504,MATCH(C742,'Cadastro Mestre'!$A$5:$A$504,0)),"código não encontrado"))</f>
        <v/>
      </c>
      <c r="E742" s="24" t="str">
        <f aca="false">IF(C742="","",IFERROR(INDEX('Cadastro Mestre'!$Q$5:$Q$504,MATCH(C742,'Cadastro Mestre'!$A$5:$A$504,0)),""))</f>
        <v/>
      </c>
      <c r="F742" s="21"/>
      <c r="G742" s="21"/>
      <c r="H742" s="21"/>
      <c r="I742" s="21"/>
    </row>
    <row r="743" customFormat="false" ht="15" hidden="false" customHeight="false" outlineLevel="0" collapsed="false">
      <c r="A743" s="25"/>
      <c r="B743" s="21"/>
      <c r="C743" s="21"/>
      <c r="D743" s="26" t="str">
        <f aca="false">IF(C743="","",IFERROR(INDEX('Cadastro Mestre'!$C$5:$C$504,MATCH(C743,'Cadastro Mestre'!$A$5:$A$504,0)),"código não encontrado"))</f>
        <v/>
      </c>
      <c r="E743" s="24" t="str">
        <f aca="false">IF(C743="","",IFERROR(INDEX('Cadastro Mestre'!$Q$5:$Q$504,MATCH(C743,'Cadastro Mestre'!$A$5:$A$504,0)),""))</f>
        <v/>
      </c>
      <c r="F743" s="21"/>
      <c r="G743" s="21"/>
      <c r="H743" s="21"/>
      <c r="I743" s="21"/>
    </row>
    <row r="744" customFormat="false" ht="15" hidden="false" customHeight="false" outlineLevel="0" collapsed="false">
      <c r="A744" s="25"/>
      <c r="B744" s="21"/>
      <c r="C744" s="21"/>
      <c r="D744" s="26" t="str">
        <f aca="false">IF(C744="","",IFERROR(INDEX('Cadastro Mestre'!$C$5:$C$504,MATCH(C744,'Cadastro Mestre'!$A$5:$A$504,0)),"código não encontrado"))</f>
        <v/>
      </c>
      <c r="E744" s="24" t="str">
        <f aca="false">IF(C744="","",IFERROR(INDEX('Cadastro Mestre'!$Q$5:$Q$504,MATCH(C744,'Cadastro Mestre'!$A$5:$A$504,0)),""))</f>
        <v/>
      </c>
      <c r="F744" s="21"/>
      <c r="G744" s="21"/>
      <c r="H744" s="21"/>
      <c r="I744" s="21"/>
    </row>
    <row r="745" customFormat="false" ht="15" hidden="false" customHeight="false" outlineLevel="0" collapsed="false">
      <c r="A745" s="25"/>
      <c r="B745" s="21"/>
      <c r="C745" s="21"/>
      <c r="D745" s="26" t="str">
        <f aca="false">IF(C745="","",IFERROR(INDEX('Cadastro Mestre'!$C$5:$C$504,MATCH(C745,'Cadastro Mestre'!$A$5:$A$504,0)),"código não encontrado"))</f>
        <v/>
      </c>
      <c r="E745" s="24" t="str">
        <f aca="false">IF(C745="","",IFERROR(INDEX('Cadastro Mestre'!$Q$5:$Q$504,MATCH(C745,'Cadastro Mestre'!$A$5:$A$504,0)),""))</f>
        <v/>
      </c>
      <c r="F745" s="21"/>
      <c r="G745" s="21"/>
      <c r="H745" s="21"/>
      <c r="I745" s="21"/>
    </row>
    <row r="746" customFormat="false" ht="15" hidden="false" customHeight="false" outlineLevel="0" collapsed="false">
      <c r="A746" s="25"/>
      <c r="B746" s="21"/>
      <c r="C746" s="21"/>
      <c r="D746" s="26" t="str">
        <f aca="false">IF(C746="","",IFERROR(INDEX('Cadastro Mestre'!$C$5:$C$504,MATCH(C746,'Cadastro Mestre'!$A$5:$A$504,0)),"código não encontrado"))</f>
        <v/>
      </c>
      <c r="E746" s="24" t="str">
        <f aca="false">IF(C746="","",IFERROR(INDEX('Cadastro Mestre'!$Q$5:$Q$504,MATCH(C746,'Cadastro Mestre'!$A$5:$A$504,0)),""))</f>
        <v/>
      </c>
      <c r="F746" s="21"/>
      <c r="G746" s="21"/>
      <c r="H746" s="21"/>
      <c r="I746" s="21"/>
    </row>
    <row r="747" customFormat="false" ht="15" hidden="false" customHeight="false" outlineLevel="0" collapsed="false">
      <c r="A747" s="25"/>
      <c r="B747" s="21"/>
      <c r="C747" s="21"/>
      <c r="D747" s="26" t="str">
        <f aca="false">IF(C747="","",IFERROR(INDEX('Cadastro Mestre'!$C$5:$C$504,MATCH(C747,'Cadastro Mestre'!$A$5:$A$504,0)),"código não encontrado"))</f>
        <v/>
      </c>
      <c r="E747" s="24" t="str">
        <f aca="false">IF(C747="","",IFERROR(INDEX('Cadastro Mestre'!$Q$5:$Q$504,MATCH(C747,'Cadastro Mestre'!$A$5:$A$504,0)),""))</f>
        <v/>
      </c>
      <c r="F747" s="21"/>
      <c r="G747" s="21"/>
      <c r="H747" s="21"/>
      <c r="I747" s="21"/>
    </row>
    <row r="748" customFormat="false" ht="15" hidden="false" customHeight="false" outlineLevel="0" collapsed="false">
      <c r="A748" s="25"/>
      <c r="B748" s="21"/>
      <c r="C748" s="21"/>
      <c r="D748" s="26" t="str">
        <f aca="false">IF(C748="","",IFERROR(INDEX('Cadastro Mestre'!$C$5:$C$504,MATCH(C748,'Cadastro Mestre'!$A$5:$A$504,0)),"código não encontrado"))</f>
        <v/>
      </c>
      <c r="E748" s="24" t="str">
        <f aca="false">IF(C748="","",IFERROR(INDEX('Cadastro Mestre'!$Q$5:$Q$504,MATCH(C748,'Cadastro Mestre'!$A$5:$A$504,0)),""))</f>
        <v/>
      </c>
      <c r="F748" s="21"/>
      <c r="G748" s="21"/>
      <c r="H748" s="21"/>
      <c r="I748" s="21"/>
    </row>
    <row r="749" customFormat="false" ht="15" hidden="false" customHeight="false" outlineLevel="0" collapsed="false">
      <c r="A749" s="25"/>
      <c r="B749" s="21"/>
      <c r="C749" s="21"/>
      <c r="D749" s="26" t="str">
        <f aca="false">IF(C749="","",IFERROR(INDEX('Cadastro Mestre'!$C$5:$C$504,MATCH(C749,'Cadastro Mestre'!$A$5:$A$504,0)),"código não encontrado"))</f>
        <v/>
      </c>
      <c r="E749" s="24" t="str">
        <f aca="false">IF(C749="","",IFERROR(INDEX('Cadastro Mestre'!$Q$5:$Q$504,MATCH(C749,'Cadastro Mestre'!$A$5:$A$504,0)),""))</f>
        <v/>
      </c>
      <c r="F749" s="21"/>
      <c r="G749" s="21"/>
      <c r="H749" s="21"/>
      <c r="I749" s="21"/>
    </row>
    <row r="750" customFormat="false" ht="15" hidden="false" customHeight="false" outlineLevel="0" collapsed="false">
      <c r="A750" s="25"/>
      <c r="B750" s="21"/>
      <c r="C750" s="21"/>
      <c r="D750" s="26" t="str">
        <f aca="false">IF(C750="","",IFERROR(INDEX('Cadastro Mestre'!$C$5:$C$504,MATCH(C750,'Cadastro Mestre'!$A$5:$A$504,0)),"código não encontrado"))</f>
        <v/>
      </c>
      <c r="E750" s="24" t="str">
        <f aca="false">IF(C750="","",IFERROR(INDEX('Cadastro Mestre'!$Q$5:$Q$504,MATCH(C750,'Cadastro Mestre'!$A$5:$A$504,0)),""))</f>
        <v/>
      </c>
      <c r="F750" s="21"/>
      <c r="G750" s="21"/>
      <c r="H750" s="21"/>
      <c r="I750" s="21"/>
    </row>
    <row r="751" customFormat="false" ht="15" hidden="false" customHeight="false" outlineLevel="0" collapsed="false">
      <c r="A751" s="25"/>
      <c r="B751" s="21"/>
      <c r="C751" s="21"/>
      <c r="D751" s="26" t="str">
        <f aca="false">IF(C751="","",IFERROR(INDEX('Cadastro Mestre'!$C$5:$C$504,MATCH(C751,'Cadastro Mestre'!$A$5:$A$504,0)),"código não encontrado"))</f>
        <v/>
      </c>
      <c r="E751" s="24" t="str">
        <f aca="false">IF(C751="","",IFERROR(INDEX('Cadastro Mestre'!$Q$5:$Q$504,MATCH(C751,'Cadastro Mestre'!$A$5:$A$504,0)),""))</f>
        <v/>
      </c>
      <c r="F751" s="21"/>
      <c r="G751" s="21"/>
      <c r="H751" s="21"/>
      <c r="I751" s="21"/>
    </row>
    <row r="752" customFormat="false" ht="15" hidden="false" customHeight="false" outlineLevel="0" collapsed="false">
      <c r="A752" s="25"/>
      <c r="B752" s="21"/>
      <c r="C752" s="21"/>
      <c r="D752" s="26" t="str">
        <f aca="false">IF(C752="","",IFERROR(INDEX('Cadastro Mestre'!$C$5:$C$504,MATCH(C752,'Cadastro Mestre'!$A$5:$A$504,0)),"código não encontrado"))</f>
        <v/>
      </c>
      <c r="E752" s="24" t="str">
        <f aca="false">IF(C752="","",IFERROR(INDEX('Cadastro Mestre'!$Q$5:$Q$504,MATCH(C752,'Cadastro Mestre'!$A$5:$A$504,0)),""))</f>
        <v/>
      </c>
      <c r="F752" s="21"/>
      <c r="G752" s="21"/>
      <c r="H752" s="21"/>
      <c r="I752" s="21"/>
    </row>
    <row r="753" customFormat="false" ht="15" hidden="false" customHeight="false" outlineLevel="0" collapsed="false">
      <c r="A753" s="25"/>
      <c r="B753" s="21"/>
      <c r="C753" s="21"/>
      <c r="D753" s="26" t="str">
        <f aca="false">IF(C753="","",IFERROR(INDEX('Cadastro Mestre'!$C$5:$C$504,MATCH(C753,'Cadastro Mestre'!$A$5:$A$504,0)),"código não encontrado"))</f>
        <v/>
      </c>
      <c r="E753" s="24" t="str">
        <f aca="false">IF(C753="","",IFERROR(INDEX('Cadastro Mestre'!$Q$5:$Q$504,MATCH(C753,'Cadastro Mestre'!$A$5:$A$504,0)),""))</f>
        <v/>
      </c>
      <c r="F753" s="21"/>
      <c r="G753" s="21"/>
      <c r="H753" s="21"/>
      <c r="I753" s="21"/>
    </row>
    <row r="754" customFormat="false" ht="15" hidden="false" customHeight="false" outlineLevel="0" collapsed="false">
      <c r="A754" s="25"/>
      <c r="B754" s="21"/>
      <c r="C754" s="21"/>
      <c r="D754" s="26" t="str">
        <f aca="false">IF(C754="","",IFERROR(INDEX('Cadastro Mestre'!$C$5:$C$504,MATCH(C754,'Cadastro Mestre'!$A$5:$A$504,0)),"código não encontrado"))</f>
        <v/>
      </c>
      <c r="E754" s="24" t="str">
        <f aca="false">IF(C754="","",IFERROR(INDEX('Cadastro Mestre'!$Q$5:$Q$504,MATCH(C754,'Cadastro Mestre'!$A$5:$A$504,0)),""))</f>
        <v/>
      </c>
      <c r="F754" s="21"/>
      <c r="G754" s="21"/>
      <c r="H754" s="21"/>
      <c r="I754" s="21"/>
    </row>
    <row r="755" customFormat="false" ht="15" hidden="false" customHeight="false" outlineLevel="0" collapsed="false">
      <c r="A755" s="25"/>
      <c r="B755" s="21"/>
      <c r="C755" s="21"/>
      <c r="D755" s="26" t="str">
        <f aca="false">IF(C755="","",IFERROR(INDEX('Cadastro Mestre'!$C$5:$C$504,MATCH(C755,'Cadastro Mestre'!$A$5:$A$504,0)),"código não encontrado"))</f>
        <v/>
      </c>
      <c r="E755" s="24" t="str">
        <f aca="false">IF(C755="","",IFERROR(INDEX('Cadastro Mestre'!$Q$5:$Q$504,MATCH(C755,'Cadastro Mestre'!$A$5:$A$504,0)),""))</f>
        <v/>
      </c>
      <c r="F755" s="21"/>
      <c r="G755" s="21"/>
      <c r="H755" s="21"/>
      <c r="I755" s="21"/>
    </row>
    <row r="756" customFormat="false" ht="15" hidden="false" customHeight="false" outlineLevel="0" collapsed="false">
      <c r="A756" s="25"/>
      <c r="B756" s="21"/>
      <c r="C756" s="21"/>
      <c r="D756" s="26" t="str">
        <f aca="false">IF(C756="","",IFERROR(INDEX('Cadastro Mestre'!$C$5:$C$504,MATCH(C756,'Cadastro Mestre'!$A$5:$A$504,0)),"código não encontrado"))</f>
        <v/>
      </c>
      <c r="E756" s="24" t="str">
        <f aca="false">IF(C756="","",IFERROR(INDEX('Cadastro Mestre'!$Q$5:$Q$504,MATCH(C756,'Cadastro Mestre'!$A$5:$A$504,0)),""))</f>
        <v/>
      </c>
      <c r="F756" s="21"/>
      <c r="G756" s="21"/>
      <c r="H756" s="21"/>
      <c r="I756" s="21"/>
    </row>
    <row r="757" customFormat="false" ht="15" hidden="false" customHeight="false" outlineLevel="0" collapsed="false">
      <c r="A757" s="25"/>
      <c r="B757" s="21"/>
      <c r="C757" s="21"/>
      <c r="D757" s="26" t="str">
        <f aca="false">IF(C757="","",IFERROR(INDEX('Cadastro Mestre'!$C$5:$C$504,MATCH(C757,'Cadastro Mestre'!$A$5:$A$504,0)),"código não encontrado"))</f>
        <v/>
      </c>
      <c r="E757" s="24" t="str">
        <f aca="false">IF(C757="","",IFERROR(INDEX('Cadastro Mestre'!$Q$5:$Q$504,MATCH(C757,'Cadastro Mestre'!$A$5:$A$504,0)),""))</f>
        <v/>
      </c>
      <c r="F757" s="21"/>
      <c r="G757" s="21"/>
      <c r="H757" s="21"/>
      <c r="I757" s="21"/>
    </row>
    <row r="758" customFormat="false" ht="15" hidden="false" customHeight="false" outlineLevel="0" collapsed="false">
      <c r="A758" s="25"/>
      <c r="B758" s="21"/>
      <c r="C758" s="21"/>
      <c r="D758" s="26" t="str">
        <f aca="false">IF(C758="","",IFERROR(INDEX('Cadastro Mestre'!$C$5:$C$504,MATCH(C758,'Cadastro Mestre'!$A$5:$A$504,0)),"código não encontrado"))</f>
        <v/>
      </c>
      <c r="E758" s="24" t="str">
        <f aca="false">IF(C758="","",IFERROR(INDEX('Cadastro Mestre'!$Q$5:$Q$504,MATCH(C758,'Cadastro Mestre'!$A$5:$A$504,0)),""))</f>
        <v/>
      </c>
      <c r="F758" s="21"/>
      <c r="G758" s="21"/>
      <c r="H758" s="21"/>
      <c r="I758" s="21"/>
    </row>
    <row r="759" customFormat="false" ht="15" hidden="false" customHeight="false" outlineLevel="0" collapsed="false">
      <c r="A759" s="25"/>
      <c r="B759" s="21"/>
      <c r="C759" s="21"/>
      <c r="D759" s="26" t="str">
        <f aca="false">IF(C759="","",IFERROR(INDEX('Cadastro Mestre'!$C$5:$C$504,MATCH(C759,'Cadastro Mestre'!$A$5:$A$504,0)),"código não encontrado"))</f>
        <v/>
      </c>
      <c r="E759" s="24" t="str">
        <f aca="false">IF(C759="","",IFERROR(INDEX('Cadastro Mestre'!$Q$5:$Q$504,MATCH(C759,'Cadastro Mestre'!$A$5:$A$504,0)),""))</f>
        <v/>
      </c>
      <c r="F759" s="21"/>
      <c r="G759" s="21"/>
      <c r="H759" s="21"/>
      <c r="I759" s="21"/>
    </row>
    <row r="760" customFormat="false" ht="15" hidden="false" customHeight="false" outlineLevel="0" collapsed="false">
      <c r="A760" s="25"/>
      <c r="B760" s="21"/>
      <c r="C760" s="21"/>
      <c r="D760" s="26" t="str">
        <f aca="false">IF(C760="","",IFERROR(INDEX('Cadastro Mestre'!$C$5:$C$504,MATCH(C760,'Cadastro Mestre'!$A$5:$A$504,0)),"código não encontrado"))</f>
        <v/>
      </c>
      <c r="E760" s="24" t="str">
        <f aca="false">IF(C760="","",IFERROR(INDEX('Cadastro Mestre'!$Q$5:$Q$504,MATCH(C760,'Cadastro Mestre'!$A$5:$A$504,0)),""))</f>
        <v/>
      </c>
      <c r="F760" s="21"/>
      <c r="G760" s="21"/>
      <c r="H760" s="21"/>
      <c r="I760" s="21"/>
    </row>
    <row r="761" customFormat="false" ht="15" hidden="false" customHeight="false" outlineLevel="0" collapsed="false">
      <c r="A761" s="25"/>
      <c r="B761" s="21"/>
      <c r="C761" s="21"/>
      <c r="D761" s="26" t="str">
        <f aca="false">IF(C761="","",IFERROR(INDEX('Cadastro Mestre'!$C$5:$C$504,MATCH(C761,'Cadastro Mestre'!$A$5:$A$504,0)),"código não encontrado"))</f>
        <v/>
      </c>
      <c r="E761" s="24" t="str">
        <f aca="false">IF(C761="","",IFERROR(INDEX('Cadastro Mestre'!$Q$5:$Q$504,MATCH(C761,'Cadastro Mestre'!$A$5:$A$504,0)),""))</f>
        <v/>
      </c>
      <c r="F761" s="21"/>
      <c r="G761" s="21"/>
      <c r="H761" s="21"/>
      <c r="I761" s="21"/>
    </row>
    <row r="762" customFormat="false" ht="15" hidden="false" customHeight="false" outlineLevel="0" collapsed="false">
      <c r="A762" s="25"/>
      <c r="B762" s="21"/>
      <c r="C762" s="21"/>
      <c r="D762" s="26" t="str">
        <f aca="false">IF(C762="","",IFERROR(INDEX('Cadastro Mestre'!$C$5:$C$504,MATCH(C762,'Cadastro Mestre'!$A$5:$A$504,0)),"código não encontrado"))</f>
        <v/>
      </c>
      <c r="E762" s="24" t="str">
        <f aca="false">IF(C762="","",IFERROR(INDEX('Cadastro Mestre'!$Q$5:$Q$504,MATCH(C762,'Cadastro Mestre'!$A$5:$A$504,0)),""))</f>
        <v/>
      </c>
      <c r="F762" s="21"/>
      <c r="G762" s="21"/>
      <c r="H762" s="21"/>
      <c r="I762" s="21"/>
    </row>
    <row r="763" customFormat="false" ht="15" hidden="false" customHeight="false" outlineLevel="0" collapsed="false">
      <c r="A763" s="25"/>
      <c r="B763" s="21"/>
      <c r="C763" s="21"/>
      <c r="D763" s="26" t="str">
        <f aca="false">IF(C763="","",IFERROR(INDEX('Cadastro Mestre'!$C$5:$C$504,MATCH(C763,'Cadastro Mestre'!$A$5:$A$504,0)),"código não encontrado"))</f>
        <v/>
      </c>
      <c r="E763" s="24" t="str">
        <f aca="false">IF(C763="","",IFERROR(INDEX('Cadastro Mestre'!$Q$5:$Q$504,MATCH(C763,'Cadastro Mestre'!$A$5:$A$504,0)),""))</f>
        <v/>
      </c>
      <c r="F763" s="21"/>
      <c r="G763" s="21"/>
      <c r="H763" s="21"/>
      <c r="I763" s="21"/>
    </row>
    <row r="764" customFormat="false" ht="15" hidden="false" customHeight="false" outlineLevel="0" collapsed="false">
      <c r="A764" s="25"/>
      <c r="B764" s="21"/>
      <c r="C764" s="21"/>
      <c r="D764" s="26" t="str">
        <f aca="false">IF(C764="","",IFERROR(INDEX('Cadastro Mestre'!$C$5:$C$504,MATCH(C764,'Cadastro Mestre'!$A$5:$A$504,0)),"código não encontrado"))</f>
        <v/>
      </c>
      <c r="E764" s="24" t="str">
        <f aca="false">IF(C764="","",IFERROR(INDEX('Cadastro Mestre'!$Q$5:$Q$504,MATCH(C764,'Cadastro Mestre'!$A$5:$A$504,0)),""))</f>
        <v/>
      </c>
      <c r="F764" s="21"/>
      <c r="G764" s="21"/>
      <c r="H764" s="21"/>
      <c r="I764" s="21"/>
    </row>
    <row r="765" customFormat="false" ht="15" hidden="false" customHeight="false" outlineLevel="0" collapsed="false">
      <c r="A765" s="25"/>
      <c r="B765" s="21"/>
      <c r="C765" s="21"/>
      <c r="D765" s="26" t="str">
        <f aca="false">IF(C765="","",IFERROR(INDEX('Cadastro Mestre'!$C$5:$C$504,MATCH(C765,'Cadastro Mestre'!$A$5:$A$504,0)),"código não encontrado"))</f>
        <v/>
      </c>
      <c r="E765" s="24" t="str">
        <f aca="false">IF(C765="","",IFERROR(INDEX('Cadastro Mestre'!$Q$5:$Q$504,MATCH(C765,'Cadastro Mestre'!$A$5:$A$504,0)),""))</f>
        <v/>
      </c>
      <c r="F765" s="21"/>
      <c r="G765" s="21"/>
      <c r="H765" s="21"/>
      <c r="I765" s="21"/>
    </row>
    <row r="766" customFormat="false" ht="15" hidden="false" customHeight="false" outlineLevel="0" collapsed="false">
      <c r="A766" s="25"/>
      <c r="B766" s="21"/>
      <c r="C766" s="21"/>
      <c r="D766" s="26" t="str">
        <f aca="false">IF(C766="","",IFERROR(INDEX('Cadastro Mestre'!$C$5:$C$504,MATCH(C766,'Cadastro Mestre'!$A$5:$A$504,0)),"código não encontrado"))</f>
        <v/>
      </c>
      <c r="E766" s="24" t="str">
        <f aca="false">IF(C766="","",IFERROR(INDEX('Cadastro Mestre'!$Q$5:$Q$504,MATCH(C766,'Cadastro Mestre'!$A$5:$A$504,0)),""))</f>
        <v/>
      </c>
      <c r="F766" s="21"/>
      <c r="G766" s="21"/>
      <c r="H766" s="21"/>
      <c r="I766" s="21"/>
    </row>
    <row r="767" customFormat="false" ht="15" hidden="false" customHeight="false" outlineLevel="0" collapsed="false">
      <c r="A767" s="25"/>
      <c r="B767" s="21"/>
      <c r="C767" s="21"/>
      <c r="D767" s="26" t="str">
        <f aca="false">IF(C767="","",IFERROR(INDEX('Cadastro Mestre'!$C$5:$C$504,MATCH(C767,'Cadastro Mestre'!$A$5:$A$504,0)),"código não encontrado"))</f>
        <v/>
      </c>
      <c r="E767" s="24" t="str">
        <f aca="false">IF(C767="","",IFERROR(INDEX('Cadastro Mestre'!$Q$5:$Q$504,MATCH(C767,'Cadastro Mestre'!$A$5:$A$504,0)),""))</f>
        <v/>
      </c>
      <c r="F767" s="21"/>
      <c r="G767" s="21"/>
      <c r="H767" s="21"/>
      <c r="I767" s="21"/>
    </row>
    <row r="768" customFormat="false" ht="15" hidden="false" customHeight="false" outlineLevel="0" collapsed="false">
      <c r="A768" s="25"/>
      <c r="B768" s="21"/>
      <c r="C768" s="21"/>
      <c r="D768" s="26" t="str">
        <f aca="false">IF(C768="","",IFERROR(INDEX('Cadastro Mestre'!$C$5:$C$504,MATCH(C768,'Cadastro Mestre'!$A$5:$A$504,0)),"código não encontrado"))</f>
        <v/>
      </c>
      <c r="E768" s="24" t="str">
        <f aca="false">IF(C768="","",IFERROR(INDEX('Cadastro Mestre'!$Q$5:$Q$504,MATCH(C768,'Cadastro Mestre'!$A$5:$A$504,0)),""))</f>
        <v/>
      </c>
      <c r="F768" s="21"/>
      <c r="G768" s="21"/>
      <c r="H768" s="21"/>
      <c r="I768" s="21"/>
    </row>
    <row r="769" customFormat="false" ht="15" hidden="false" customHeight="false" outlineLevel="0" collapsed="false">
      <c r="A769" s="25"/>
      <c r="B769" s="21"/>
      <c r="C769" s="21"/>
      <c r="D769" s="26" t="str">
        <f aca="false">IF(C769="","",IFERROR(INDEX('Cadastro Mestre'!$C$5:$C$504,MATCH(C769,'Cadastro Mestre'!$A$5:$A$504,0)),"código não encontrado"))</f>
        <v/>
      </c>
      <c r="E769" s="24" t="str">
        <f aca="false">IF(C769="","",IFERROR(INDEX('Cadastro Mestre'!$Q$5:$Q$504,MATCH(C769,'Cadastro Mestre'!$A$5:$A$504,0)),""))</f>
        <v/>
      </c>
      <c r="F769" s="21"/>
      <c r="G769" s="21"/>
      <c r="H769" s="21"/>
      <c r="I769" s="21"/>
    </row>
    <row r="770" customFormat="false" ht="15" hidden="false" customHeight="false" outlineLevel="0" collapsed="false">
      <c r="A770" s="25"/>
      <c r="B770" s="21"/>
      <c r="C770" s="21"/>
      <c r="D770" s="26" t="str">
        <f aca="false">IF(C770="","",IFERROR(INDEX('Cadastro Mestre'!$C$5:$C$504,MATCH(C770,'Cadastro Mestre'!$A$5:$A$504,0)),"código não encontrado"))</f>
        <v/>
      </c>
      <c r="E770" s="24" t="str">
        <f aca="false">IF(C770="","",IFERROR(INDEX('Cadastro Mestre'!$Q$5:$Q$504,MATCH(C770,'Cadastro Mestre'!$A$5:$A$504,0)),""))</f>
        <v/>
      </c>
      <c r="F770" s="21"/>
      <c r="G770" s="21"/>
      <c r="H770" s="21"/>
      <c r="I770" s="21"/>
    </row>
    <row r="771" customFormat="false" ht="15" hidden="false" customHeight="false" outlineLevel="0" collapsed="false">
      <c r="A771" s="25"/>
      <c r="B771" s="21"/>
      <c r="C771" s="21"/>
      <c r="D771" s="26" t="str">
        <f aca="false">IF(C771="","",IFERROR(INDEX('Cadastro Mestre'!$C$5:$C$504,MATCH(C771,'Cadastro Mestre'!$A$5:$A$504,0)),"código não encontrado"))</f>
        <v/>
      </c>
      <c r="E771" s="24" t="str">
        <f aca="false">IF(C771="","",IFERROR(INDEX('Cadastro Mestre'!$Q$5:$Q$504,MATCH(C771,'Cadastro Mestre'!$A$5:$A$504,0)),""))</f>
        <v/>
      </c>
      <c r="F771" s="21"/>
      <c r="G771" s="21"/>
      <c r="H771" s="21"/>
      <c r="I771" s="21"/>
    </row>
    <row r="772" customFormat="false" ht="15" hidden="false" customHeight="false" outlineLevel="0" collapsed="false">
      <c r="A772" s="25"/>
      <c r="B772" s="21"/>
      <c r="C772" s="21"/>
      <c r="D772" s="26" t="str">
        <f aca="false">IF(C772="","",IFERROR(INDEX('Cadastro Mestre'!$C$5:$C$504,MATCH(C772,'Cadastro Mestre'!$A$5:$A$504,0)),"código não encontrado"))</f>
        <v/>
      </c>
      <c r="E772" s="24" t="str">
        <f aca="false">IF(C772="","",IFERROR(INDEX('Cadastro Mestre'!$Q$5:$Q$504,MATCH(C772,'Cadastro Mestre'!$A$5:$A$504,0)),""))</f>
        <v/>
      </c>
      <c r="F772" s="21"/>
      <c r="G772" s="21"/>
      <c r="H772" s="21"/>
      <c r="I772" s="21"/>
    </row>
    <row r="773" customFormat="false" ht="15" hidden="false" customHeight="false" outlineLevel="0" collapsed="false">
      <c r="A773" s="25"/>
      <c r="B773" s="21"/>
      <c r="C773" s="21"/>
      <c r="D773" s="26" t="str">
        <f aca="false">IF(C773="","",IFERROR(INDEX('Cadastro Mestre'!$C$5:$C$504,MATCH(C773,'Cadastro Mestre'!$A$5:$A$504,0)),"código não encontrado"))</f>
        <v/>
      </c>
      <c r="E773" s="24" t="str">
        <f aca="false">IF(C773="","",IFERROR(INDEX('Cadastro Mestre'!$Q$5:$Q$504,MATCH(C773,'Cadastro Mestre'!$A$5:$A$504,0)),""))</f>
        <v/>
      </c>
      <c r="F773" s="21"/>
      <c r="G773" s="21"/>
      <c r="H773" s="21"/>
      <c r="I773" s="21"/>
    </row>
    <row r="774" customFormat="false" ht="15" hidden="false" customHeight="false" outlineLevel="0" collapsed="false">
      <c r="A774" s="25"/>
      <c r="B774" s="21"/>
      <c r="C774" s="21"/>
      <c r="D774" s="26" t="str">
        <f aca="false">IF(C774="","",IFERROR(INDEX('Cadastro Mestre'!$C$5:$C$504,MATCH(C774,'Cadastro Mestre'!$A$5:$A$504,0)),"código não encontrado"))</f>
        <v/>
      </c>
      <c r="E774" s="24" t="str">
        <f aca="false">IF(C774="","",IFERROR(INDEX('Cadastro Mestre'!$Q$5:$Q$504,MATCH(C774,'Cadastro Mestre'!$A$5:$A$504,0)),""))</f>
        <v/>
      </c>
      <c r="F774" s="21"/>
      <c r="G774" s="21"/>
      <c r="H774" s="21"/>
      <c r="I774" s="21"/>
    </row>
    <row r="775" customFormat="false" ht="15" hidden="false" customHeight="false" outlineLevel="0" collapsed="false">
      <c r="A775" s="25"/>
      <c r="B775" s="21"/>
      <c r="C775" s="21"/>
      <c r="D775" s="26" t="str">
        <f aca="false">IF(C775="","",IFERROR(INDEX('Cadastro Mestre'!$C$5:$C$504,MATCH(C775,'Cadastro Mestre'!$A$5:$A$504,0)),"código não encontrado"))</f>
        <v/>
      </c>
      <c r="E775" s="24" t="str">
        <f aca="false">IF(C775="","",IFERROR(INDEX('Cadastro Mestre'!$Q$5:$Q$504,MATCH(C775,'Cadastro Mestre'!$A$5:$A$504,0)),""))</f>
        <v/>
      </c>
      <c r="F775" s="21"/>
      <c r="G775" s="21"/>
      <c r="H775" s="21"/>
      <c r="I775" s="21"/>
    </row>
    <row r="776" customFormat="false" ht="15" hidden="false" customHeight="false" outlineLevel="0" collapsed="false">
      <c r="A776" s="25"/>
      <c r="B776" s="21"/>
      <c r="C776" s="21"/>
      <c r="D776" s="26" t="str">
        <f aca="false">IF(C776="","",IFERROR(INDEX('Cadastro Mestre'!$C$5:$C$504,MATCH(C776,'Cadastro Mestre'!$A$5:$A$504,0)),"código não encontrado"))</f>
        <v/>
      </c>
      <c r="E776" s="24" t="str">
        <f aca="false">IF(C776="","",IFERROR(INDEX('Cadastro Mestre'!$Q$5:$Q$504,MATCH(C776,'Cadastro Mestre'!$A$5:$A$504,0)),""))</f>
        <v/>
      </c>
      <c r="F776" s="21"/>
      <c r="G776" s="21"/>
      <c r="H776" s="21"/>
      <c r="I776" s="21"/>
    </row>
    <row r="777" customFormat="false" ht="15" hidden="false" customHeight="false" outlineLevel="0" collapsed="false">
      <c r="A777" s="25"/>
      <c r="B777" s="21"/>
      <c r="C777" s="21"/>
      <c r="D777" s="26" t="str">
        <f aca="false">IF(C777="","",IFERROR(INDEX('Cadastro Mestre'!$C$5:$C$504,MATCH(C777,'Cadastro Mestre'!$A$5:$A$504,0)),"código não encontrado"))</f>
        <v/>
      </c>
      <c r="E777" s="24" t="str">
        <f aca="false">IF(C777="","",IFERROR(INDEX('Cadastro Mestre'!$Q$5:$Q$504,MATCH(C777,'Cadastro Mestre'!$A$5:$A$504,0)),""))</f>
        <v/>
      </c>
      <c r="F777" s="21"/>
      <c r="G777" s="21"/>
      <c r="H777" s="21"/>
      <c r="I777" s="21"/>
    </row>
    <row r="778" customFormat="false" ht="15" hidden="false" customHeight="false" outlineLevel="0" collapsed="false">
      <c r="A778" s="25"/>
      <c r="B778" s="21"/>
      <c r="C778" s="21"/>
      <c r="D778" s="26" t="str">
        <f aca="false">IF(C778="","",IFERROR(INDEX('Cadastro Mestre'!$C$5:$C$504,MATCH(C778,'Cadastro Mestre'!$A$5:$A$504,0)),"código não encontrado"))</f>
        <v/>
      </c>
      <c r="E778" s="24" t="str">
        <f aca="false">IF(C778="","",IFERROR(INDEX('Cadastro Mestre'!$Q$5:$Q$504,MATCH(C778,'Cadastro Mestre'!$A$5:$A$504,0)),""))</f>
        <v/>
      </c>
      <c r="F778" s="21"/>
      <c r="G778" s="21"/>
      <c r="H778" s="21"/>
      <c r="I778" s="21"/>
    </row>
    <row r="779" customFormat="false" ht="15" hidden="false" customHeight="false" outlineLevel="0" collapsed="false">
      <c r="A779" s="25"/>
      <c r="B779" s="21"/>
      <c r="C779" s="21"/>
      <c r="D779" s="26" t="str">
        <f aca="false">IF(C779="","",IFERROR(INDEX('Cadastro Mestre'!$C$5:$C$504,MATCH(C779,'Cadastro Mestre'!$A$5:$A$504,0)),"código não encontrado"))</f>
        <v/>
      </c>
      <c r="E779" s="24" t="str">
        <f aca="false">IF(C779="","",IFERROR(INDEX('Cadastro Mestre'!$Q$5:$Q$504,MATCH(C779,'Cadastro Mestre'!$A$5:$A$504,0)),""))</f>
        <v/>
      </c>
      <c r="F779" s="21"/>
      <c r="G779" s="21"/>
      <c r="H779" s="21"/>
      <c r="I779" s="21"/>
    </row>
    <row r="780" customFormat="false" ht="15" hidden="false" customHeight="false" outlineLevel="0" collapsed="false">
      <c r="A780" s="25"/>
      <c r="B780" s="21"/>
      <c r="C780" s="21"/>
      <c r="D780" s="26" t="str">
        <f aca="false">IF(C780="","",IFERROR(INDEX('Cadastro Mestre'!$C$5:$C$504,MATCH(C780,'Cadastro Mestre'!$A$5:$A$504,0)),"código não encontrado"))</f>
        <v/>
      </c>
      <c r="E780" s="24" t="str">
        <f aca="false">IF(C780="","",IFERROR(INDEX('Cadastro Mestre'!$Q$5:$Q$504,MATCH(C780,'Cadastro Mestre'!$A$5:$A$504,0)),""))</f>
        <v/>
      </c>
      <c r="F780" s="21"/>
      <c r="G780" s="21"/>
      <c r="H780" s="21"/>
      <c r="I780" s="21"/>
    </row>
    <row r="781" customFormat="false" ht="15" hidden="false" customHeight="false" outlineLevel="0" collapsed="false">
      <c r="A781" s="25"/>
      <c r="B781" s="21"/>
      <c r="C781" s="21"/>
      <c r="D781" s="26" t="str">
        <f aca="false">IF(C781="","",IFERROR(INDEX('Cadastro Mestre'!$C$5:$C$504,MATCH(C781,'Cadastro Mestre'!$A$5:$A$504,0)),"código não encontrado"))</f>
        <v/>
      </c>
      <c r="E781" s="24" t="str">
        <f aca="false">IF(C781="","",IFERROR(INDEX('Cadastro Mestre'!$Q$5:$Q$504,MATCH(C781,'Cadastro Mestre'!$A$5:$A$504,0)),""))</f>
        <v/>
      </c>
      <c r="F781" s="21"/>
      <c r="G781" s="21"/>
      <c r="H781" s="21"/>
      <c r="I781" s="21"/>
    </row>
    <row r="782" customFormat="false" ht="15" hidden="false" customHeight="false" outlineLevel="0" collapsed="false">
      <c r="A782" s="25"/>
      <c r="B782" s="21"/>
      <c r="C782" s="21"/>
      <c r="D782" s="26" t="str">
        <f aca="false">IF(C782="","",IFERROR(INDEX('Cadastro Mestre'!$C$5:$C$504,MATCH(C782,'Cadastro Mestre'!$A$5:$A$504,0)),"código não encontrado"))</f>
        <v/>
      </c>
      <c r="E782" s="24" t="str">
        <f aca="false">IF(C782="","",IFERROR(INDEX('Cadastro Mestre'!$Q$5:$Q$504,MATCH(C782,'Cadastro Mestre'!$A$5:$A$504,0)),""))</f>
        <v/>
      </c>
      <c r="F782" s="21"/>
      <c r="G782" s="21"/>
      <c r="H782" s="21"/>
      <c r="I782" s="21"/>
    </row>
    <row r="783" customFormat="false" ht="15" hidden="false" customHeight="false" outlineLevel="0" collapsed="false">
      <c r="A783" s="25"/>
      <c r="B783" s="21"/>
      <c r="C783" s="21"/>
      <c r="D783" s="26" t="str">
        <f aca="false">IF(C783="","",IFERROR(INDEX('Cadastro Mestre'!$C$5:$C$504,MATCH(C783,'Cadastro Mestre'!$A$5:$A$504,0)),"código não encontrado"))</f>
        <v/>
      </c>
      <c r="E783" s="24" t="str">
        <f aca="false">IF(C783="","",IFERROR(INDEX('Cadastro Mestre'!$Q$5:$Q$504,MATCH(C783,'Cadastro Mestre'!$A$5:$A$504,0)),""))</f>
        <v/>
      </c>
      <c r="F783" s="21"/>
      <c r="G783" s="21"/>
      <c r="H783" s="21"/>
      <c r="I783" s="21"/>
    </row>
    <row r="784" customFormat="false" ht="15" hidden="false" customHeight="false" outlineLevel="0" collapsed="false">
      <c r="A784" s="25"/>
      <c r="B784" s="21"/>
      <c r="C784" s="21"/>
      <c r="D784" s="26" t="str">
        <f aca="false">IF(C784="","",IFERROR(INDEX('Cadastro Mestre'!$C$5:$C$504,MATCH(C784,'Cadastro Mestre'!$A$5:$A$504,0)),"código não encontrado"))</f>
        <v/>
      </c>
      <c r="E784" s="24" t="str">
        <f aca="false">IF(C784="","",IFERROR(INDEX('Cadastro Mestre'!$Q$5:$Q$504,MATCH(C784,'Cadastro Mestre'!$A$5:$A$504,0)),""))</f>
        <v/>
      </c>
      <c r="F784" s="21"/>
      <c r="G784" s="21"/>
      <c r="H784" s="21"/>
      <c r="I784" s="21"/>
    </row>
    <row r="785" customFormat="false" ht="15" hidden="false" customHeight="false" outlineLevel="0" collapsed="false">
      <c r="A785" s="25"/>
      <c r="B785" s="21"/>
      <c r="C785" s="21"/>
      <c r="D785" s="26" t="str">
        <f aca="false">IF(C785="","",IFERROR(INDEX('Cadastro Mestre'!$C$5:$C$504,MATCH(C785,'Cadastro Mestre'!$A$5:$A$504,0)),"código não encontrado"))</f>
        <v/>
      </c>
      <c r="E785" s="24" t="str">
        <f aca="false">IF(C785="","",IFERROR(INDEX('Cadastro Mestre'!$Q$5:$Q$504,MATCH(C785,'Cadastro Mestre'!$A$5:$A$504,0)),""))</f>
        <v/>
      </c>
      <c r="F785" s="21"/>
      <c r="G785" s="21"/>
      <c r="H785" s="21"/>
      <c r="I785" s="21"/>
    </row>
    <row r="786" customFormat="false" ht="15" hidden="false" customHeight="false" outlineLevel="0" collapsed="false">
      <c r="A786" s="25"/>
      <c r="B786" s="21"/>
      <c r="C786" s="21"/>
      <c r="D786" s="26" t="str">
        <f aca="false">IF(C786="","",IFERROR(INDEX('Cadastro Mestre'!$C$5:$C$504,MATCH(C786,'Cadastro Mestre'!$A$5:$A$504,0)),"código não encontrado"))</f>
        <v/>
      </c>
      <c r="E786" s="24" t="str">
        <f aca="false">IF(C786="","",IFERROR(INDEX('Cadastro Mestre'!$Q$5:$Q$504,MATCH(C786,'Cadastro Mestre'!$A$5:$A$504,0)),""))</f>
        <v/>
      </c>
      <c r="F786" s="21"/>
      <c r="G786" s="21"/>
      <c r="H786" s="21"/>
      <c r="I786" s="21"/>
    </row>
    <row r="787" customFormat="false" ht="15" hidden="false" customHeight="false" outlineLevel="0" collapsed="false">
      <c r="A787" s="25"/>
      <c r="B787" s="21"/>
      <c r="C787" s="21"/>
      <c r="D787" s="26" t="str">
        <f aca="false">IF(C787="","",IFERROR(INDEX('Cadastro Mestre'!$C$5:$C$504,MATCH(C787,'Cadastro Mestre'!$A$5:$A$504,0)),"código não encontrado"))</f>
        <v/>
      </c>
      <c r="E787" s="24" t="str">
        <f aca="false">IF(C787="","",IFERROR(INDEX('Cadastro Mestre'!$Q$5:$Q$504,MATCH(C787,'Cadastro Mestre'!$A$5:$A$504,0)),""))</f>
        <v/>
      </c>
      <c r="F787" s="21"/>
      <c r="G787" s="21"/>
      <c r="H787" s="21"/>
      <c r="I787" s="21"/>
    </row>
    <row r="788" customFormat="false" ht="15" hidden="false" customHeight="false" outlineLevel="0" collapsed="false">
      <c r="A788" s="25"/>
      <c r="B788" s="21"/>
      <c r="C788" s="21"/>
      <c r="D788" s="26" t="str">
        <f aca="false">IF(C788="","",IFERROR(INDEX('Cadastro Mestre'!$C$5:$C$504,MATCH(C788,'Cadastro Mestre'!$A$5:$A$504,0)),"código não encontrado"))</f>
        <v/>
      </c>
      <c r="E788" s="24" t="str">
        <f aca="false">IF(C788="","",IFERROR(INDEX('Cadastro Mestre'!$Q$5:$Q$504,MATCH(C788,'Cadastro Mestre'!$A$5:$A$504,0)),""))</f>
        <v/>
      </c>
      <c r="F788" s="21"/>
      <c r="G788" s="21"/>
      <c r="H788" s="21"/>
      <c r="I788" s="21"/>
    </row>
    <row r="789" customFormat="false" ht="15" hidden="false" customHeight="false" outlineLevel="0" collapsed="false">
      <c r="A789" s="25"/>
      <c r="B789" s="21"/>
      <c r="C789" s="21"/>
      <c r="D789" s="26" t="str">
        <f aca="false">IF(C789="","",IFERROR(INDEX('Cadastro Mestre'!$C$5:$C$504,MATCH(C789,'Cadastro Mestre'!$A$5:$A$504,0)),"código não encontrado"))</f>
        <v/>
      </c>
      <c r="E789" s="24" t="str">
        <f aca="false">IF(C789="","",IFERROR(INDEX('Cadastro Mestre'!$Q$5:$Q$504,MATCH(C789,'Cadastro Mestre'!$A$5:$A$504,0)),""))</f>
        <v/>
      </c>
      <c r="F789" s="21"/>
      <c r="G789" s="21"/>
      <c r="H789" s="21"/>
      <c r="I789" s="21"/>
    </row>
    <row r="790" customFormat="false" ht="15" hidden="false" customHeight="false" outlineLevel="0" collapsed="false">
      <c r="A790" s="25"/>
      <c r="B790" s="21"/>
      <c r="C790" s="21"/>
      <c r="D790" s="26" t="str">
        <f aca="false">IF(C790="","",IFERROR(INDEX('Cadastro Mestre'!$C$5:$C$504,MATCH(C790,'Cadastro Mestre'!$A$5:$A$504,0)),"código não encontrado"))</f>
        <v/>
      </c>
      <c r="E790" s="24" t="str">
        <f aca="false">IF(C790="","",IFERROR(INDEX('Cadastro Mestre'!$Q$5:$Q$504,MATCH(C790,'Cadastro Mestre'!$A$5:$A$504,0)),""))</f>
        <v/>
      </c>
      <c r="F790" s="21"/>
      <c r="G790" s="21"/>
      <c r="H790" s="21"/>
      <c r="I790" s="21"/>
    </row>
    <row r="791" customFormat="false" ht="15" hidden="false" customHeight="false" outlineLevel="0" collapsed="false">
      <c r="A791" s="25"/>
      <c r="B791" s="21"/>
      <c r="C791" s="21"/>
      <c r="D791" s="26" t="str">
        <f aca="false">IF(C791="","",IFERROR(INDEX('Cadastro Mestre'!$C$5:$C$504,MATCH(C791,'Cadastro Mestre'!$A$5:$A$504,0)),"código não encontrado"))</f>
        <v/>
      </c>
      <c r="E791" s="24" t="str">
        <f aca="false">IF(C791="","",IFERROR(INDEX('Cadastro Mestre'!$Q$5:$Q$504,MATCH(C791,'Cadastro Mestre'!$A$5:$A$504,0)),""))</f>
        <v/>
      </c>
      <c r="F791" s="21"/>
      <c r="G791" s="21"/>
      <c r="H791" s="21"/>
      <c r="I791" s="21"/>
    </row>
    <row r="792" customFormat="false" ht="15" hidden="false" customHeight="false" outlineLevel="0" collapsed="false">
      <c r="A792" s="25"/>
      <c r="B792" s="21"/>
      <c r="C792" s="21"/>
      <c r="D792" s="26" t="str">
        <f aca="false">IF(C792="","",IFERROR(INDEX('Cadastro Mestre'!$C$5:$C$504,MATCH(C792,'Cadastro Mestre'!$A$5:$A$504,0)),"código não encontrado"))</f>
        <v/>
      </c>
      <c r="E792" s="24" t="str">
        <f aca="false">IF(C792="","",IFERROR(INDEX('Cadastro Mestre'!$Q$5:$Q$504,MATCH(C792,'Cadastro Mestre'!$A$5:$A$504,0)),""))</f>
        <v/>
      </c>
      <c r="F792" s="21"/>
      <c r="G792" s="21"/>
      <c r="H792" s="21"/>
      <c r="I792" s="21"/>
    </row>
    <row r="793" customFormat="false" ht="15" hidden="false" customHeight="false" outlineLevel="0" collapsed="false">
      <c r="A793" s="25"/>
      <c r="B793" s="21"/>
      <c r="C793" s="21"/>
      <c r="D793" s="26" t="str">
        <f aca="false">IF(C793="","",IFERROR(INDEX('Cadastro Mestre'!$C$5:$C$504,MATCH(C793,'Cadastro Mestre'!$A$5:$A$504,0)),"código não encontrado"))</f>
        <v/>
      </c>
      <c r="E793" s="24" t="str">
        <f aca="false">IF(C793="","",IFERROR(INDEX('Cadastro Mestre'!$Q$5:$Q$504,MATCH(C793,'Cadastro Mestre'!$A$5:$A$504,0)),""))</f>
        <v/>
      </c>
      <c r="F793" s="21"/>
      <c r="G793" s="21"/>
      <c r="H793" s="21"/>
      <c r="I793" s="21"/>
    </row>
    <row r="794" customFormat="false" ht="15" hidden="false" customHeight="false" outlineLevel="0" collapsed="false">
      <c r="A794" s="25"/>
      <c r="B794" s="21"/>
      <c r="C794" s="21"/>
      <c r="D794" s="26" t="str">
        <f aca="false">IF(C794="","",IFERROR(INDEX('Cadastro Mestre'!$C$5:$C$504,MATCH(C794,'Cadastro Mestre'!$A$5:$A$504,0)),"código não encontrado"))</f>
        <v/>
      </c>
      <c r="E794" s="24" t="str">
        <f aca="false">IF(C794="","",IFERROR(INDEX('Cadastro Mestre'!$Q$5:$Q$504,MATCH(C794,'Cadastro Mestre'!$A$5:$A$504,0)),""))</f>
        <v/>
      </c>
      <c r="F794" s="21"/>
      <c r="G794" s="21"/>
      <c r="H794" s="21"/>
      <c r="I794" s="21"/>
    </row>
    <row r="795" customFormat="false" ht="15" hidden="false" customHeight="false" outlineLevel="0" collapsed="false">
      <c r="A795" s="25"/>
      <c r="B795" s="21"/>
      <c r="C795" s="21"/>
      <c r="D795" s="26" t="str">
        <f aca="false">IF(C795="","",IFERROR(INDEX('Cadastro Mestre'!$C$5:$C$504,MATCH(C795,'Cadastro Mestre'!$A$5:$A$504,0)),"código não encontrado"))</f>
        <v/>
      </c>
      <c r="E795" s="24" t="str">
        <f aca="false">IF(C795="","",IFERROR(INDEX('Cadastro Mestre'!$Q$5:$Q$504,MATCH(C795,'Cadastro Mestre'!$A$5:$A$504,0)),""))</f>
        <v/>
      </c>
      <c r="F795" s="21"/>
      <c r="G795" s="21"/>
      <c r="H795" s="21"/>
      <c r="I795" s="21"/>
    </row>
    <row r="796" customFormat="false" ht="15" hidden="false" customHeight="false" outlineLevel="0" collapsed="false">
      <c r="A796" s="25"/>
      <c r="B796" s="21"/>
      <c r="C796" s="21"/>
      <c r="D796" s="26" t="str">
        <f aca="false">IF(C796="","",IFERROR(INDEX('Cadastro Mestre'!$C$5:$C$504,MATCH(C796,'Cadastro Mestre'!$A$5:$A$504,0)),"código não encontrado"))</f>
        <v/>
      </c>
      <c r="E796" s="24" t="str">
        <f aca="false">IF(C796="","",IFERROR(INDEX('Cadastro Mestre'!$Q$5:$Q$504,MATCH(C796,'Cadastro Mestre'!$A$5:$A$504,0)),""))</f>
        <v/>
      </c>
      <c r="F796" s="21"/>
      <c r="G796" s="21"/>
      <c r="H796" s="21"/>
      <c r="I796" s="21"/>
    </row>
    <row r="797" customFormat="false" ht="15" hidden="false" customHeight="false" outlineLevel="0" collapsed="false">
      <c r="A797" s="25"/>
      <c r="B797" s="21"/>
      <c r="C797" s="21"/>
      <c r="D797" s="26" t="str">
        <f aca="false">IF(C797="","",IFERROR(INDEX('Cadastro Mestre'!$C$5:$C$504,MATCH(C797,'Cadastro Mestre'!$A$5:$A$504,0)),"código não encontrado"))</f>
        <v/>
      </c>
      <c r="E797" s="24" t="str">
        <f aca="false">IF(C797="","",IFERROR(INDEX('Cadastro Mestre'!$Q$5:$Q$504,MATCH(C797,'Cadastro Mestre'!$A$5:$A$504,0)),""))</f>
        <v/>
      </c>
      <c r="F797" s="21"/>
      <c r="G797" s="21"/>
      <c r="H797" s="21"/>
      <c r="I797" s="21"/>
    </row>
    <row r="798" customFormat="false" ht="15" hidden="false" customHeight="false" outlineLevel="0" collapsed="false">
      <c r="A798" s="25"/>
      <c r="B798" s="21"/>
      <c r="C798" s="21"/>
      <c r="D798" s="26" t="str">
        <f aca="false">IF(C798="","",IFERROR(INDEX('Cadastro Mestre'!$C$5:$C$504,MATCH(C798,'Cadastro Mestre'!$A$5:$A$504,0)),"código não encontrado"))</f>
        <v/>
      </c>
      <c r="E798" s="24" t="str">
        <f aca="false">IF(C798="","",IFERROR(INDEX('Cadastro Mestre'!$Q$5:$Q$504,MATCH(C798,'Cadastro Mestre'!$A$5:$A$504,0)),""))</f>
        <v/>
      </c>
      <c r="F798" s="21"/>
      <c r="G798" s="21"/>
      <c r="H798" s="21"/>
      <c r="I798" s="21"/>
    </row>
    <row r="799" customFormat="false" ht="15" hidden="false" customHeight="false" outlineLevel="0" collapsed="false">
      <c r="A799" s="25"/>
      <c r="B799" s="21"/>
      <c r="C799" s="21"/>
      <c r="D799" s="26" t="str">
        <f aca="false">IF(C799="","",IFERROR(INDEX('Cadastro Mestre'!$C$5:$C$504,MATCH(C799,'Cadastro Mestre'!$A$5:$A$504,0)),"código não encontrado"))</f>
        <v/>
      </c>
      <c r="E799" s="24" t="str">
        <f aca="false">IF(C799="","",IFERROR(INDEX('Cadastro Mestre'!$Q$5:$Q$504,MATCH(C799,'Cadastro Mestre'!$A$5:$A$504,0)),""))</f>
        <v/>
      </c>
      <c r="F799" s="21"/>
      <c r="G799" s="21"/>
      <c r="H799" s="21"/>
      <c r="I799" s="21"/>
    </row>
    <row r="800" customFormat="false" ht="15" hidden="false" customHeight="false" outlineLevel="0" collapsed="false">
      <c r="A800" s="25"/>
      <c r="B800" s="21"/>
      <c r="C800" s="21"/>
      <c r="D800" s="26" t="str">
        <f aca="false">IF(C800="","",IFERROR(INDEX('Cadastro Mestre'!$C$5:$C$504,MATCH(C800,'Cadastro Mestre'!$A$5:$A$504,0)),"código não encontrado"))</f>
        <v/>
      </c>
      <c r="E800" s="24" t="str">
        <f aca="false">IF(C800="","",IFERROR(INDEX('Cadastro Mestre'!$Q$5:$Q$504,MATCH(C800,'Cadastro Mestre'!$A$5:$A$504,0)),""))</f>
        <v/>
      </c>
      <c r="F800" s="21"/>
      <c r="G800" s="21"/>
      <c r="H800" s="21"/>
      <c r="I800" s="21"/>
    </row>
    <row r="801" customFormat="false" ht="15" hidden="false" customHeight="false" outlineLevel="0" collapsed="false">
      <c r="A801" s="25"/>
      <c r="B801" s="21"/>
      <c r="C801" s="21"/>
      <c r="D801" s="26" t="str">
        <f aca="false">IF(C801="","",IFERROR(INDEX('Cadastro Mestre'!$C$5:$C$504,MATCH(C801,'Cadastro Mestre'!$A$5:$A$504,0)),"código não encontrado"))</f>
        <v/>
      </c>
      <c r="E801" s="24" t="str">
        <f aca="false">IF(C801="","",IFERROR(INDEX('Cadastro Mestre'!$Q$5:$Q$504,MATCH(C801,'Cadastro Mestre'!$A$5:$A$504,0)),""))</f>
        <v/>
      </c>
      <c r="F801" s="21"/>
      <c r="G801" s="21"/>
      <c r="H801" s="21"/>
      <c r="I801" s="21"/>
    </row>
    <row r="802" customFormat="false" ht="15" hidden="false" customHeight="false" outlineLevel="0" collapsed="false">
      <c r="A802" s="25"/>
      <c r="B802" s="21"/>
      <c r="C802" s="21"/>
      <c r="D802" s="26" t="str">
        <f aca="false">IF(C802="","",IFERROR(INDEX('Cadastro Mestre'!$C$5:$C$504,MATCH(C802,'Cadastro Mestre'!$A$5:$A$504,0)),"código não encontrado"))</f>
        <v/>
      </c>
      <c r="E802" s="24" t="str">
        <f aca="false">IF(C802="","",IFERROR(INDEX('Cadastro Mestre'!$Q$5:$Q$504,MATCH(C802,'Cadastro Mestre'!$A$5:$A$504,0)),""))</f>
        <v/>
      </c>
      <c r="F802" s="21"/>
      <c r="G802" s="21"/>
      <c r="H802" s="21"/>
      <c r="I802" s="21"/>
    </row>
    <row r="803" customFormat="false" ht="15" hidden="false" customHeight="false" outlineLevel="0" collapsed="false">
      <c r="A803" s="25"/>
      <c r="B803" s="21"/>
      <c r="C803" s="21"/>
      <c r="D803" s="26" t="str">
        <f aca="false">IF(C803="","",IFERROR(INDEX('Cadastro Mestre'!$C$5:$C$504,MATCH(C803,'Cadastro Mestre'!$A$5:$A$504,0)),"código não encontrado"))</f>
        <v/>
      </c>
      <c r="E803" s="24" t="str">
        <f aca="false">IF(C803="","",IFERROR(INDEX('Cadastro Mestre'!$Q$5:$Q$504,MATCH(C803,'Cadastro Mestre'!$A$5:$A$504,0)),""))</f>
        <v/>
      </c>
      <c r="F803" s="21"/>
      <c r="G803" s="21"/>
      <c r="H803" s="21"/>
      <c r="I803" s="21"/>
    </row>
    <row r="804" customFormat="false" ht="15" hidden="false" customHeight="false" outlineLevel="0" collapsed="false">
      <c r="A804" s="25"/>
      <c r="B804" s="21"/>
      <c r="C804" s="21"/>
      <c r="D804" s="26" t="str">
        <f aca="false">IF(C804="","",IFERROR(INDEX('Cadastro Mestre'!$C$5:$C$504,MATCH(C804,'Cadastro Mestre'!$A$5:$A$504,0)),"código não encontrado"))</f>
        <v/>
      </c>
      <c r="E804" s="24" t="str">
        <f aca="false">IF(C804="","",IFERROR(INDEX('Cadastro Mestre'!$Q$5:$Q$504,MATCH(C804,'Cadastro Mestre'!$A$5:$A$504,0)),""))</f>
        <v/>
      </c>
      <c r="F804" s="21"/>
      <c r="G804" s="21"/>
      <c r="H804" s="21"/>
      <c r="I804" s="21"/>
    </row>
    <row r="805" customFormat="false" ht="15" hidden="false" customHeight="false" outlineLevel="0" collapsed="false">
      <c r="A805" s="25"/>
      <c r="B805" s="21"/>
      <c r="C805" s="21"/>
      <c r="D805" s="26" t="str">
        <f aca="false">IF(C805="","",IFERROR(INDEX('Cadastro Mestre'!$C$5:$C$504,MATCH(C805,'Cadastro Mestre'!$A$5:$A$504,0)),"código não encontrado"))</f>
        <v/>
      </c>
      <c r="E805" s="24" t="str">
        <f aca="false">IF(C805="","",IFERROR(INDEX('Cadastro Mestre'!$Q$5:$Q$504,MATCH(C805,'Cadastro Mestre'!$A$5:$A$504,0)),""))</f>
        <v/>
      </c>
      <c r="F805" s="21"/>
      <c r="G805" s="21"/>
      <c r="H805" s="21"/>
      <c r="I805" s="21"/>
    </row>
    <row r="806" customFormat="false" ht="15" hidden="false" customHeight="false" outlineLevel="0" collapsed="false">
      <c r="A806" s="25"/>
      <c r="B806" s="21"/>
      <c r="C806" s="21"/>
      <c r="D806" s="26" t="str">
        <f aca="false">IF(C806="","",IFERROR(INDEX('Cadastro Mestre'!$C$5:$C$504,MATCH(C806,'Cadastro Mestre'!$A$5:$A$504,0)),"código não encontrado"))</f>
        <v/>
      </c>
      <c r="E806" s="24" t="str">
        <f aca="false">IF(C806="","",IFERROR(INDEX('Cadastro Mestre'!$Q$5:$Q$504,MATCH(C806,'Cadastro Mestre'!$A$5:$A$504,0)),""))</f>
        <v/>
      </c>
      <c r="F806" s="21"/>
      <c r="G806" s="21"/>
      <c r="H806" s="21"/>
      <c r="I806" s="21"/>
    </row>
    <row r="807" customFormat="false" ht="15" hidden="false" customHeight="false" outlineLevel="0" collapsed="false">
      <c r="A807" s="25"/>
      <c r="B807" s="21"/>
      <c r="C807" s="21"/>
      <c r="D807" s="26" t="str">
        <f aca="false">IF(C807="","",IFERROR(INDEX('Cadastro Mestre'!$C$5:$C$504,MATCH(C807,'Cadastro Mestre'!$A$5:$A$504,0)),"código não encontrado"))</f>
        <v/>
      </c>
      <c r="E807" s="24" t="str">
        <f aca="false">IF(C807="","",IFERROR(INDEX('Cadastro Mestre'!$Q$5:$Q$504,MATCH(C807,'Cadastro Mestre'!$A$5:$A$504,0)),""))</f>
        <v/>
      </c>
      <c r="F807" s="21"/>
      <c r="G807" s="21"/>
      <c r="H807" s="21"/>
      <c r="I807" s="21"/>
    </row>
    <row r="808" customFormat="false" ht="15" hidden="false" customHeight="false" outlineLevel="0" collapsed="false">
      <c r="A808" s="25"/>
      <c r="B808" s="21"/>
      <c r="C808" s="21"/>
      <c r="D808" s="26" t="str">
        <f aca="false">IF(C808="","",IFERROR(INDEX('Cadastro Mestre'!$C$5:$C$504,MATCH(C808,'Cadastro Mestre'!$A$5:$A$504,0)),"código não encontrado"))</f>
        <v/>
      </c>
      <c r="E808" s="24" t="str">
        <f aca="false">IF(C808="","",IFERROR(INDEX('Cadastro Mestre'!$Q$5:$Q$504,MATCH(C808,'Cadastro Mestre'!$A$5:$A$504,0)),""))</f>
        <v/>
      </c>
      <c r="F808" s="21"/>
      <c r="G808" s="21"/>
      <c r="H808" s="21"/>
      <c r="I808" s="21"/>
    </row>
    <row r="809" customFormat="false" ht="15" hidden="false" customHeight="false" outlineLevel="0" collapsed="false">
      <c r="A809" s="25"/>
      <c r="B809" s="21"/>
      <c r="C809" s="21"/>
      <c r="D809" s="26" t="str">
        <f aca="false">IF(C809="","",IFERROR(INDEX('Cadastro Mestre'!$C$5:$C$504,MATCH(C809,'Cadastro Mestre'!$A$5:$A$504,0)),"código não encontrado"))</f>
        <v/>
      </c>
      <c r="E809" s="24" t="str">
        <f aca="false">IF(C809="","",IFERROR(INDEX('Cadastro Mestre'!$Q$5:$Q$504,MATCH(C809,'Cadastro Mestre'!$A$5:$A$504,0)),""))</f>
        <v/>
      </c>
      <c r="F809" s="21"/>
      <c r="G809" s="21"/>
      <c r="H809" s="21"/>
      <c r="I809" s="21"/>
    </row>
    <row r="810" customFormat="false" ht="15" hidden="false" customHeight="false" outlineLevel="0" collapsed="false">
      <c r="A810" s="25"/>
      <c r="B810" s="21"/>
      <c r="C810" s="21"/>
      <c r="D810" s="26" t="str">
        <f aca="false">IF(C810="","",IFERROR(INDEX('Cadastro Mestre'!$C$5:$C$504,MATCH(C810,'Cadastro Mestre'!$A$5:$A$504,0)),"código não encontrado"))</f>
        <v/>
      </c>
      <c r="E810" s="24" t="str">
        <f aca="false">IF(C810="","",IFERROR(INDEX('Cadastro Mestre'!$Q$5:$Q$504,MATCH(C810,'Cadastro Mestre'!$A$5:$A$504,0)),""))</f>
        <v/>
      </c>
      <c r="F810" s="21"/>
      <c r="G810" s="21"/>
      <c r="H810" s="21"/>
      <c r="I810" s="21"/>
    </row>
    <row r="811" customFormat="false" ht="15" hidden="false" customHeight="false" outlineLevel="0" collapsed="false">
      <c r="A811" s="25"/>
      <c r="B811" s="21"/>
      <c r="C811" s="21"/>
      <c r="D811" s="26" t="str">
        <f aca="false">IF(C811="","",IFERROR(INDEX('Cadastro Mestre'!$C$5:$C$504,MATCH(C811,'Cadastro Mestre'!$A$5:$A$504,0)),"código não encontrado"))</f>
        <v/>
      </c>
      <c r="E811" s="24" t="str">
        <f aca="false">IF(C811="","",IFERROR(INDEX('Cadastro Mestre'!$Q$5:$Q$504,MATCH(C811,'Cadastro Mestre'!$A$5:$A$504,0)),""))</f>
        <v/>
      </c>
      <c r="F811" s="21"/>
      <c r="G811" s="21"/>
      <c r="H811" s="21"/>
      <c r="I811" s="21"/>
    </row>
    <row r="812" customFormat="false" ht="15" hidden="false" customHeight="false" outlineLevel="0" collapsed="false">
      <c r="A812" s="25"/>
      <c r="B812" s="21"/>
      <c r="C812" s="21"/>
      <c r="D812" s="26" t="str">
        <f aca="false">IF(C812="","",IFERROR(INDEX('Cadastro Mestre'!$C$5:$C$504,MATCH(C812,'Cadastro Mestre'!$A$5:$A$504,0)),"código não encontrado"))</f>
        <v/>
      </c>
      <c r="E812" s="24" t="str">
        <f aca="false">IF(C812="","",IFERROR(INDEX('Cadastro Mestre'!$Q$5:$Q$504,MATCH(C812,'Cadastro Mestre'!$A$5:$A$504,0)),""))</f>
        <v/>
      </c>
      <c r="F812" s="21"/>
      <c r="G812" s="21"/>
      <c r="H812" s="21"/>
      <c r="I812" s="21"/>
    </row>
    <row r="813" customFormat="false" ht="15" hidden="false" customHeight="false" outlineLevel="0" collapsed="false">
      <c r="A813" s="25"/>
      <c r="B813" s="21"/>
      <c r="C813" s="21"/>
      <c r="D813" s="26" t="str">
        <f aca="false">IF(C813="","",IFERROR(INDEX('Cadastro Mestre'!$C$5:$C$504,MATCH(C813,'Cadastro Mestre'!$A$5:$A$504,0)),"código não encontrado"))</f>
        <v/>
      </c>
      <c r="E813" s="24" t="str">
        <f aca="false">IF(C813="","",IFERROR(INDEX('Cadastro Mestre'!$Q$5:$Q$504,MATCH(C813,'Cadastro Mestre'!$A$5:$A$504,0)),""))</f>
        <v/>
      </c>
      <c r="F813" s="21"/>
      <c r="G813" s="21"/>
      <c r="H813" s="21"/>
      <c r="I813" s="21"/>
    </row>
    <row r="814" customFormat="false" ht="15" hidden="false" customHeight="false" outlineLevel="0" collapsed="false">
      <c r="A814" s="25"/>
      <c r="B814" s="21"/>
      <c r="C814" s="21"/>
      <c r="D814" s="26" t="str">
        <f aca="false">IF(C814="","",IFERROR(INDEX('Cadastro Mestre'!$C$5:$C$504,MATCH(C814,'Cadastro Mestre'!$A$5:$A$504,0)),"código não encontrado"))</f>
        <v/>
      </c>
      <c r="E814" s="24" t="str">
        <f aca="false">IF(C814="","",IFERROR(INDEX('Cadastro Mestre'!$Q$5:$Q$504,MATCH(C814,'Cadastro Mestre'!$A$5:$A$504,0)),""))</f>
        <v/>
      </c>
      <c r="F814" s="21"/>
      <c r="G814" s="21"/>
      <c r="H814" s="21"/>
      <c r="I814" s="21"/>
    </row>
    <row r="815" customFormat="false" ht="15" hidden="false" customHeight="false" outlineLevel="0" collapsed="false">
      <c r="A815" s="25"/>
      <c r="B815" s="21"/>
      <c r="C815" s="21"/>
      <c r="D815" s="26" t="str">
        <f aca="false">IF(C815="","",IFERROR(INDEX('Cadastro Mestre'!$C$5:$C$504,MATCH(C815,'Cadastro Mestre'!$A$5:$A$504,0)),"código não encontrado"))</f>
        <v/>
      </c>
      <c r="E815" s="24" t="str">
        <f aca="false">IF(C815="","",IFERROR(INDEX('Cadastro Mestre'!$Q$5:$Q$504,MATCH(C815,'Cadastro Mestre'!$A$5:$A$504,0)),""))</f>
        <v/>
      </c>
      <c r="F815" s="21"/>
      <c r="G815" s="21"/>
      <c r="H815" s="21"/>
      <c r="I815" s="21"/>
    </row>
    <row r="816" customFormat="false" ht="15" hidden="false" customHeight="false" outlineLevel="0" collapsed="false">
      <c r="A816" s="25"/>
      <c r="B816" s="21"/>
      <c r="C816" s="21"/>
      <c r="D816" s="26" t="str">
        <f aca="false">IF(C816="","",IFERROR(INDEX('Cadastro Mestre'!$C$5:$C$504,MATCH(C816,'Cadastro Mestre'!$A$5:$A$504,0)),"código não encontrado"))</f>
        <v/>
      </c>
      <c r="E816" s="24" t="str">
        <f aca="false">IF(C816="","",IFERROR(INDEX('Cadastro Mestre'!$Q$5:$Q$504,MATCH(C816,'Cadastro Mestre'!$A$5:$A$504,0)),""))</f>
        <v/>
      </c>
      <c r="F816" s="21"/>
      <c r="G816" s="21"/>
      <c r="H816" s="21"/>
      <c r="I816" s="21"/>
    </row>
    <row r="817" customFormat="false" ht="15" hidden="false" customHeight="false" outlineLevel="0" collapsed="false">
      <c r="A817" s="25"/>
      <c r="B817" s="21"/>
      <c r="C817" s="21"/>
      <c r="D817" s="26" t="str">
        <f aca="false">IF(C817="","",IFERROR(INDEX('Cadastro Mestre'!$C$5:$C$504,MATCH(C817,'Cadastro Mestre'!$A$5:$A$504,0)),"código não encontrado"))</f>
        <v/>
      </c>
      <c r="E817" s="24" t="str">
        <f aca="false">IF(C817="","",IFERROR(INDEX('Cadastro Mestre'!$Q$5:$Q$504,MATCH(C817,'Cadastro Mestre'!$A$5:$A$504,0)),""))</f>
        <v/>
      </c>
      <c r="F817" s="21"/>
      <c r="G817" s="21"/>
      <c r="H817" s="21"/>
      <c r="I817" s="21"/>
    </row>
    <row r="818" customFormat="false" ht="15" hidden="false" customHeight="false" outlineLevel="0" collapsed="false">
      <c r="A818" s="25"/>
      <c r="B818" s="21"/>
      <c r="C818" s="21"/>
      <c r="D818" s="26" t="str">
        <f aca="false">IF(C818="","",IFERROR(INDEX('Cadastro Mestre'!$C$5:$C$504,MATCH(C818,'Cadastro Mestre'!$A$5:$A$504,0)),"código não encontrado"))</f>
        <v/>
      </c>
      <c r="E818" s="24" t="str">
        <f aca="false">IF(C818="","",IFERROR(INDEX('Cadastro Mestre'!$Q$5:$Q$504,MATCH(C818,'Cadastro Mestre'!$A$5:$A$504,0)),""))</f>
        <v/>
      </c>
      <c r="F818" s="21"/>
      <c r="G818" s="21"/>
      <c r="H818" s="21"/>
      <c r="I818" s="21"/>
    </row>
    <row r="819" customFormat="false" ht="15" hidden="false" customHeight="false" outlineLevel="0" collapsed="false">
      <c r="A819" s="25"/>
      <c r="B819" s="21"/>
      <c r="C819" s="21"/>
      <c r="D819" s="26" t="str">
        <f aca="false">IF(C819="","",IFERROR(INDEX('Cadastro Mestre'!$C$5:$C$504,MATCH(C819,'Cadastro Mestre'!$A$5:$A$504,0)),"código não encontrado"))</f>
        <v/>
      </c>
      <c r="E819" s="24" t="str">
        <f aca="false">IF(C819="","",IFERROR(INDEX('Cadastro Mestre'!$Q$5:$Q$504,MATCH(C819,'Cadastro Mestre'!$A$5:$A$504,0)),""))</f>
        <v/>
      </c>
      <c r="F819" s="21"/>
      <c r="G819" s="21"/>
      <c r="H819" s="21"/>
      <c r="I819" s="21"/>
    </row>
    <row r="820" customFormat="false" ht="15" hidden="false" customHeight="false" outlineLevel="0" collapsed="false">
      <c r="A820" s="25"/>
      <c r="B820" s="21"/>
      <c r="C820" s="21"/>
      <c r="D820" s="26" t="str">
        <f aca="false">IF(C820="","",IFERROR(INDEX('Cadastro Mestre'!$C$5:$C$504,MATCH(C820,'Cadastro Mestre'!$A$5:$A$504,0)),"código não encontrado"))</f>
        <v/>
      </c>
      <c r="E820" s="24" t="str">
        <f aca="false">IF(C820="","",IFERROR(INDEX('Cadastro Mestre'!$Q$5:$Q$504,MATCH(C820,'Cadastro Mestre'!$A$5:$A$504,0)),""))</f>
        <v/>
      </c>
      <c r="F820" s="21"/>
      <c r="G820" s="21"/>
      <c r="H820" s="21"/>
      <c r="I820" s="21"/>
    </row>
    <row r="821" customFormat="false" ht="15" hidden="false" customHeight="false" outlineLevel="0" collapsed="false">
      <c r="A821" s="25"/>
      <c r="B821" s="21"/>
      <c r="C821" s="21"/>
      <c r="D821" s="26" t="str">
        <f aca="false">IF(C821="","",IFERROR(INDEX('Cadastro Mestre'!$C$5:$C$504,MATCH(C821,'Cadastro Mestre'!$A$5:$A$504,0)),"código não encontrado"))</f>
        <v/>
      </c>
      <c r="E821" s="24" t="str">
        <f aca="false">IF(C821="","",IFERROR(INDEX('Cadastro Mestre'!$Q$5:$Q$504,MATCH(C821,'Cadastro Mestre'!$A$5:$A$504,0)),""))</f>
        <v/>
      </c>
      <c r="F821" s="21"/>
      <c r="G821" s="21"/>
      <c r="H821" s="21"/>
      <c r="I821" s="21"/>
    </row>
    <row r="822" customFormat="false" ht="15" hidden="false" customHeight="false" outlineLevel="0" collapsed="false">
      <c r="A822" s="25"/>
      <c r="B822" s="21"/>
      <c r="C822" s="21"/>
      <c r="D822" s="26" t="str">
        <f aca="false">IF(C822="","",IFERROR(INDEX('Cadastro Mestre'!$C$5:$C$504,MATCH(C822,'Cadastro Mestre'!$A$5:$A$504,0)),"código não encontrado"))</f>
        <v/>
      </c>
      <c r="E822" s="24" t="str">
        <f aca="false">IF(C822="","",IFERROR(INDEX('Cadastro Mestre'!$Q$5:$Q$504,MATCH(C822,'Cadastro Mestre'!$A$5:$A$504,0)),""))</f>
        <v/>
      </c>
      <c r="F822" s="21"/>
      <c r="G822" s="21"/>
      <c r="H822" s="21"/>
      <c r="I822" s="21"/>
    </row>
    <row r="823" customFormat="false" ht="15" hidden="false" customHeight="false" outlineLevel="0" collapsed="false">
      <c r="A823" s="25"/>
      <c r="B823" s="21"/>
      <c r="C823" s="21"/>
      <c r="D823" s="26" t="str">
        <f aca="false">IF(C823="","",IFERROR(INDEX('Cadastro Mestre'!$C$5:$C$504,MATCH(C823,'Cadastro Mestre'!$A$5:$A$504,0)),"código não encontrado"))</f>
        <v/>
      </c>
      <c r="E823" s="24" t="str">
        <f aca="false">IF(C823="","",IFERROR(INDEX('Cadastro Mestre'!$Q$5:$Q$504,MATCH(C823,'Cadastro Mestre'!$A$5:$A$504,0)),""))</f>
        <v/>
      </c>
      <c r="F823" s="21"/>
      <c r="G823" s="21"/>
      <c r="H823" s="21"/>
      <c r="I823" s="21"/>
    </row>
    <row r="824" customFormat="false" ht="15" hidden="false" customHeight="false" outlineLevel="0" collapsed="false">
      <c r="A824" s="25"/>
      <c r="B824" s="21"/>
      <c r="C824" s="21"/>
      <c r="D824" s="26" t="str">
        <f aca="false">IF(C824="","",IFERROR(INDEX('Cadastro Mestre'!$C$5:$C$504,MATCH(C824,'Cadastro Mestre'!$A$5:$A$504,0)),"código não encontrado"))</f>
        <v/>
      </c>
      <c r="E824" s="24" t="str">
        <f aca="false">IF(C824="","",IFERROR(INDEX('Cadastro Mestre'!$Q$5:$Q$504,MATCH(C824,'Cadastro Mestre'!$A$5:$A$504,0)),""))</f>
        <v/>
      </c>
      <c r="F824" s="21"/>
      <c r="G824" s="21"/>
      <c r="H824" s="21"/>
      <c r="I824" s="21"/>
    </row>
    <row r="825" customFormat="false" ht="15" hidden="false" customHeight="false" outlineLevel="0" collapsed="false">
      <c r="A825" s="25"/>
      <c r="B825" s="21"/>
      <c r="C825" s="21"/>
      <c r="D825" s="26" t="str">
        <f aca="false">IF(C825="","",IFERROR(INDEX('Cadastro Mestre'!$C$5:$C$504,MATCH(C825,'Cadastro Mestre'!$A$5:$A$504,0)),"código não encontrado"))</f>
        <v/>
      </c>
      <c r="E825" s="24" t="str">
        <f aca="false">IF(C825="","",IFERROR(INDEX('Cadastro Mestre'!$Q$5:$Q$504,MATCH(C825,'Cadastro Mestre'!$A$5:$A$504,0)),""))</f>
        <v/>
      </c>
      <c r="F825" s="21"/>
      <c r="G825" s="21"/>
      <c r="H825" s="21"/>
      <c r="I825" s="21"/>
    </row>
    <row r="826" customFormat="false" ht="15" hidden="false" customHeight="false" outlineLevel="0" collapsed="false">
      <c r="A826" s="25"/>
      <c r="B826" s="21"/>
      <c r="C826" s="21"/>
      <c r="D826" s="26" t="str">
        <f aca="false">IF(C826="","",IFERROR(INDEX('Cadastro Mestre'!$C$5:$C$504,MATCH(C826,'Cadastro Mestre'!$A$5:$A$504,0)),"código não encontrado"))</f>
        <v/>
      </c>
      <c r="E826" s="24" t="str">
        <f aca="false">IF(C826="","",IFERROR(INDEX('Cadastro Mestre'!$Q$5:$Q$504,MATCH(C826,'Cadastro Mestre'!$A$5:$A$504,0)),""))</f>
        <v/>
      </c>
      <c r="F826" s="21"/>
      <c r="G826" s="21"/>
      <c r="H826" s="21"/>
      <c r="I826" s="21"/>
    </row>
    <row r="827" customFormat="false" ht="15" hidden="false" customHeight="false" outlineLevel="0" collapsed="false">
      <c r="A827" s="25"/>
      <c r="B827" s="21"/>
      <c r="C827" s="21"/>
      <c r="D827" s="26" t="str">
        <f aca="false">IF(C827="","",IFERROR(INDEX('Cadastro Mestre'!$C$5:$C$504,MATCH(C827,'Cadastro Mestre'!$A$5:$A$504,0)),"código não encontrado"))</f>
        <v/>
      </c>
      <c r="E827" s="24" t="str">
        <f aca="false">IF(C827="","",IFERROR(INDEX('Cadastro Mestre'!$Q$5:$Q$504,MATCH(C827,'Cadastro Mestre'!$A$5:$A$504,0)),""))</f>
        <v/>
      </c>
      <c r="F827" s="21"/>
      <c r="G827" s="21"/>
      <c r="H827" s="21"/>
      <c r="I827" s="21"/>
    </row>
    <row r="828" customFormat="false" ht="15" hidden="false" customHeight="false" outlineLevel="0" collapsed="false">
      <c r="A828" s="25"/>
      <c r="B828" s="21"/>
      <c r="C828" s="21"/>
      <c r="D828" s="26" t="str">
        <f aca="false">IF(C828="","",IFERROR(INDEX('Cadastro Mestre'!$C$5:$C$504,MATCH(C828,'Cadastro Mestre'!$A$5:$A$504,0)),"código não encontrado"))</f>
        <v/>
      </c>
      <c r="E828" s="24" t="str">
        <f aca="false">IF(C828="","",IFERROR(INDEX('Cadastro Mestre'!$Q$5:$Q$504,MATCH(C828,'Cadastro Mestre'!$A$5:$A$504,0)),""))</f>
        <v/>
      </c>
      <c r="F828" s="21"/>
      <c r="G828" s="21"/>
      <c r="H828" s="21"/>
      <c r="I828" s="21"/>
    </row>
    <row r="829" customFormat="false" ht="15" hidden="false" customHeight="false" outlineLevel="0" collapsed="false">
      <c r="A829" s="25"/>
      <c r="B829" s="21"/>
      <c r="C829" s="21"/>
      <c r="D829" s="26" t="str">
        <f aca="false">IF(C829="","",IFERROR(INDEX('Cadastro Mestre'!$C$5:$C$504,MATCH(C829,'Cadastro Mestre'!$A$5:$A$504,0)),"código não encontrado"))</f>
        <v/>
      </c>
      <c r="E829" s="24" t="str">
        <f aca="false">IF(C829="","",IFERROR(INDEX('Cadastro Mestre'!$Q$5:$Q$504,MATCH(C829,'Cadastro Mestre'!$A$5:$A$504,0)),""))</f>
        <v/>
      </c>
      <c r="F829" s="21"/>
      <c r="G829" s="21"/>
      <c r="H829" s="21"/>
      <c r="I829" s="21"/>
    </row>
    <row r="830" customFormat="false" ht="15" hidden="false" customHeight="false" outlineLevel="0" collapsed="false">
      <c r="A830" s="25"/>
      <c r="B830" s="21"/>
      <c r="C830" s="21"/>
      <c r="D830" s="26" t="str">
        <f aca="false">IF(C830="","",IFERROR(INDEX('Cadastro Mestre'!$C$5:$C$504,MATCH(C830,'Cadastro Mestre'!$A$5:$A$504,0)),"código não encontrado"))</f>
        <v/>
      </c>
      <c r="E830" s="24" t="str">
        <f aca="false">IF(C830="","",IFERROR(INDEX('Cadastro Mestre'!$Q$5:$Q$504,MATCH(C830,'Cadastro Mestre'!$A$5:$A$504,0)),""))</f>
        <v/>
      </c>
      <c r="F830" s="21"/>
      <c r="G830" s="21"/>
      <c r="H830" s="21"/>
      <c r="I830" s="21"/>
    </row>
    <row r="831" customFormat="false" ht="15" hidden="false" customHeight="false" outlineLevel="0" collapsed="false">
      <c r="A831" s="25"/>
      <c r="B831" s="21"/>
      <c r="C831" s="21"/>
      <c r="D831" s="26" t="str">
        <f aca="false">IF(C831="","",IFERROR(INDEX('Cadastro Mestre'!$C$5:$C$504,MATCH(C831,'Cadastro Mestre'!$A$5:$A$504,0)),"código não encontrado"))</f>
        <v/>
      </c>
      <c r="E831" s="24" t="str">
        <f aca="false">IF(C831="","",IFERROR(INDEX('Cadastro Mestre'!$Q$5:$Q$504,MATCH(C831,'Cadastro Mestre'!$A$5:$A$504,0)),""))</f>
        <v/>
      </c>
      <c r="F831" s="21"/>
      <c r="G831" s="21"/>
      <c r="H831" s="21"/>
      <c r="I831" s="21"/>
    </row>
    <row r="832" customFormat="false" ht="15" hidden="false" customHeight="false" outlineLevel="0" collapsed="false">
      <c r="A832" s="25"/>
      <c r="B832" s="21"/>
      <c r="C832" s="21"/>
      <c r="D832" s="26" t="str">
        <f aca="false">IF(C832="","",IFERROR(INDEX('Cadastro Mestre'!$C$5:$C$504,MATCH(C832,'Cadastro Mestre'!$A$5:$A$504,0)),"código não encontrado"))</f>
        <v/>
      </c>
      <c r="E832" s="24" t="str">
        <f aca="false">IF(C832="","",IFERROR(INDEX('Cadastro Mestre'!$Q$5:$Q$504,MATCH(C832,'Cadastro Mestre'!$A$5:$A$504,0)),""))</f>
        <v/>
      </c>
      <c r="F832" s="21"/>
      <c r="G832" s="21"/>
      <c r="H832" s="21"/>
      <c r="I832" s="21"/>
    </row>
    <row r="833" customFormat="false" ht="15" hidden="false" customHeight="false" outlineLevel="0" collapsed="false">
      <c r="A833" s="25"/>
      <c r="B833" s="21"/>
      <c r="C833" s="21"/>
      <c r="D833" s="26" t="str">
        <f aca="false">IF(C833="","",IFERROR(INDEX('Cadastro Mestre'!$C$5:$C$504,MATCH(C833,'Cadastro Mestre'!$A$5:$A$504,0)),"código não encontrado"))</f>
        <v/>
      </c>
      <c r="E833" s="24" t="str">
        <f aca="false">IF(C833="","",IFERROR(INDEX('Cadastro Mestre'!$Q$5:$Q$504,MATCH(C833,'Cadastro Mestre'!$A$5:$A$504,0)),""))</f>
        <v/>
      </c>
      <c r="F833" s="21"/>
      <c r="G833" s="21"/>
      <c r="H833" s="21"/>
      <c r="I833" s="21"/>
    </row>
    <row r="834" customFormat="false" ht="15" hidden="false" customHeight="false" outlineLevel="0" collapsed="false">
      <c r="A834" s="25"/>
      <c r="B834" s="21"/>
      <c r="C834" s="21"/>
      <c r="D834" s="26" t="str">
        <f aca="false">IF(C834="","",IFERROR(INDEX('Cadastro Mestre'!$C$5:$C$504,MATCH(C834,'Cadastro Mestre'!$A$5:$A$504,0)),"código não encontrado"))</f>
        <v/>
      </c>
      <c r="E834" s="24" t="str">
        <f aca="false">IF(C834="","",IFERROR(INDEX('Cadastro Mestre'!$Q$5:$Q$504,MATCH(C834,'Cadastro Mestre'!$A$5:$A$504,0)),""))</f>
        <v/>
      </c>
      <c r="F834" s="21"/>
      <c r="G834" s="21"/>
      <c r="H834" s="21"/>
      <c r="I834" s="21"/>
    </row>
    <row r="835" customFormat="false" ht="15" hidden="false" customHeight="false" outlineLevel="0" collapsed="false">
      <c r="A835" s="25"/>
      <c r="B835" s="21"/>
      <c r="C835" s="21"/>
      <c r="D835" s="26" t="str">
        <f aca="false">IF(C835="","",IFERROR(INDEX('Cadastro Mestre'!$C$5:$C$504,MATCH(C835,'Cadastro Mestre'!$A$5:$A$504,0)),"código não encontrado"))</f>
        <v/>
      </c>
      <c r="E835" s="24" t="str">
        <f aca="false">IF(C835="","",IFERROR(INDEX('Cadastro Mestre'!$Q$5:$Q$504,MATCH(C835,'Cadastro Mestre'!$A$5:$A$504,0)),""))</f>
        <v/>
      </c>
      <c r="F835" s="21"/>
      <c r="G835" s="21"/>
      <c r="H835" s="21"/>
      <c r="I835" s="21"/>
    </row>
    <row r="836" customFormat="false" ht="15" hidden="false" customHeight="false" outlineLevel="0" collapsed="false">
      <c r="A836" s="25"/>
      <c r="B836" s="21"/>
      <c r="C836" s="21"/>
      <c r="D836" s="26" t="str">
        <f aca="false">IF(C836="","",IFERROR(INDEX('Cadastro Mestre'!$C$5:$C$504,MATCH(C836,'Cadastro Mestre'!$A$5:$A$504,0)),"código não encontrado"))</f>
        <v/>
      </c>
      <c r="E836" s="24" t="str">
        <f aca="false">IF(C836="","",IFERROR(INDEX('Cadastro Mestre'!$Q$5:$Q$504,MATCH(C836,'Cadastro Mestre'!$A$5:$A$504,0)),""))</f>
        <v/>
      </c>
      <c r="F836" s="21"/>
      <c r="G836" s="21"/>
      <c r="H836" s="21"/>
      <c r="I836" s="21"/>
    </row>
    <row r="837" customFormat="false" ht="15" hidden="false" customHeight="false" outlineLevel="0" collapsed="false">
      <c r="A837" s="25"/>
      <c r="B837" s="21"/>
      <c r="C837" s="21"/>
      <c r="D837" s="26" t="str">
        <f aca="false">IF(C837="","",IFERROR(INDEX('Cadastro Mestre'!$C$5:$C$504,MATCH(C837,'Cadastro Mestre'!$A$5:$A$504,0)),"código não encontrado"))</f>
        <v/>
      </c>
      <c r="E837" s="24" t="str">
        <f aca="false">IF(C837="","",IFERROR(INDEX('Cadastro Mestre'!$Q$5:$Q$504,MATCH(C837,'Cadastro Mestre'!$A$5:$A$504,0)),""))</f>
        <v/>
      </c>
      <c r="F837" s="21"/>
      <c r="G837" s="21"/>
      <c r="H837" s="21"/>
      <c r="I837" s="21"/>
    </row>
    <row r="838" customFormat="false" ht="15" hidden="false" customHeight="false" outlineLevel="0" collapsed="false">
      <c r="A838" s="25"/>
      <c r="B838" s="21"/>
      <c r="C838" s="21"/>
      <c r="D838" s="26" t="str">
        <f aca="false">IF(C838="","",IFERROR(INDEX('Cadastro Mestre'!$C$5:$C$504,MATCH(C838,'Cadastro Mestre'!$A$5:$A$504,0)),"código não encontrado"))</f>
        <v/>
      </c>
      <c r="E838" s="24" t="str">
        <f aca="false">IF(C838="","",IFERROR(INDEX('Cadastro Mestre'!$Q$5:$Q$504,MATCH(C838,'Cadastro Mestre'!$A$5:$A$504,0)),""))</f>
        <v/>
      </c>
      <c r="F838" s="21"/>
      <c r="G838" s="21"/>
      <c r="H838" s="21"/>
      <c r="I838" s="21"/>
    </row>
    <row r="839" customFormat="false" ht="15" hidden="false" customHeight="false" outlineLevel="0" collapsed="false">
      <c r="A839" s="25"/>
      <c r="B839" s="21"/>
      <c r="C839" s="21"/>
      <c r="D839" s="26" t="str">
        <f aca="false">IF(C839="","",IFERROR(INDEX('Cadastro Mestre'!$C$5:$C$504,MATCH(C839,'Cadastro Mestre'!$A$5:$A$504,0)),"código não encontrado"))</f>
        <v/>
      </c>
      <c r="E839" s="24" t="str">
        <f aca="false">IF(C839="","",IFERROR(INDEX('Cadastro Mestre'!$Q$5:$Q$504,MATCH(C839,'Cadastro Mestre'!$A$5:$A$504,0)),""))</f>
        <v/>
      </c>
      <c r="F839" s="21"/>
      <c r="G839" s="21"/>
      <c r="H839" s="21"/>
      <c r="I839" s="21"/>
    </row>
    <row r="840" customFormat="false" ht="15" hidden="false" customHeight="false" outlineLevel="0" collapsed="false">
      <c r="A840" s="25"/>
      <c r="B840" s="21"/>
      <c r="C840" s="21"/>
      <c r="D840" s="26" t="str">
        <f aca="false">IF(C840="","",IFERROR(INDEX('Cadastro Mestre'!$C$5:$C$504,MATCH(C840,'Cadastro Mestre'!$A$5:$A$504,0)),"código não encontrado"))</f>
        <v/>
      </c>
      <c r="E840" s="24" t="str">
        <f aca="false">IF(C840="","",IFERROR(INDEX('Cadastro Mestre'!$Q$5:$Q$504,MATCH(C840,'Cadastro Mestre'!$A$5:$A$504,0)),""))</f>
        <v/>
      </c>
      <c r="F840" s="21"/>
      <c r="G840" s="21"/>
      <c r="H840" s="21"/>
      <c r="I840" s="21"/>
    </row>
    <row r="841" customFormat="false" ht="15" hidden="false" customHeight="false" outlineLevel="0" collapsed="false">
      <c r="A841" s="25"/>
      <c r="B841" s="21"/>
      <c r="C841" s="21"/>
      <c r="D841" s="26" t="str">
        <f aca="false">IF(C841="","",IFERROR(INDEX('Cadastro Mestre'!$C$5:$C$504,MATCH(C841,'Cadastro Mestre'!$A$5:$A$504,0)),"código não encontrado"))</f>
        <v/>
      </c>
      <c r="E841" s="24" t="str">
        <f aca="false">IF(C841="","",IFERROR(INDEX('Cadastro Mestre'!$Q$5:$Q$504,MATCH(C841,'Cadastro Mestre'!$A$5:$A$504,0)),""))</f>
        <v/>
      </c>
      <c r="F841" s="21"/>
      <c r="G841" s="21"/>
      <c r="H841" s="21"/>
      <c r="I841" s="21"/>
    </row>
    <row r="842" customFormat="false" ht="15" hidden="false" customHeight="false" outlineLevel="0" collapsed="false">
      <c r="A842" s="25"/>
      <c r="B842" s="21"/>
      <c r="C842" s="21"/>
      <c r="D842" s="26" t="str">
        <f aca="false">IF(C842="","",IFERROR(INDEX('Cadastro Mestre'!$C$5:$C$504,MATCH(C842,'Cadastro Mestre'!$A$5:$A$504,0)),"código não encontrado"))</f>
        <v/>
      </c>
      <c r="E842" s="24" t="str">
        <f aca="false">IF(C842="","",IFERROR(INDEX('Cadastro Mestre'!$Q$5:$Q$504,MATCH(C842,'Cadastro Mestre'!$A$5:$A$504,0)),""))</f>
        <v/>
      </c>
      <c r="F842" s="21"/>
      <c r="G842" s="21"/>
      <c r="H842" s="21"/>
      <c r="I842" s="21"/>
    </row>
    <row r="843" customFormat="false" ht="15" hidden="false" customHeight="false" outlineLevel="0" collapsed="false">
      <c r="A843" s="25"/>
      <c r="B843" s="21"/>
      <c r="C843" s="21"/>
      <c r="D843" s="26" t="str">
        <f aca="false">IF(C843="","",IFERROR(INDEX('Cadastro Mestre'!$C$5:$C$504,MATCH(C843,'Cadastro Mestre'!$A$5:$A$504,0)),"código não encontrado"))</f>
        <v/>
      </c>
      <c r="E843" s="24" t="str">
        <f aca="false">IF(C843="","",IFERROR(INDEX('Cadastro Mestre'!$Q$5:$Q$504,MATCH(C843,'Cadastro Mestre'!$A$5:$A$504,0)),""))</f>
        <v/>
      </c>
      <c r="F843" s="21"/>
      <c r="G843" s="21"/>
      <c r="H843" s="21"/>
      <c r="I843" s="21"/>
    </row>
    <row r="844" customFormat="false" ht="15" hidden="false" customHeight="false" outlineLevel="0" collapsed="false">
      <c r="A844" s="25"/>
      <c r="B844" s="21"/>
      <c r="C844" s="21"/>
      <c r="D844" s="26" t="str">
        <f aca="false">IF(C844="","",IFERROR(INDEX('Cadastro Mestre'!$C$5:$C$504,MATCH(C844,'Cadastro Mestre'!$A$5:$A$504,0)),"código não encontrado"))</f>
        <v/>
      </c>
      <c r="E844" s="24" t="str">
        <f aca="false">IF(C844="","",IFERROR(INDEX('Cadastro Mestre'!$Q$5:$Q$504,MATCH(C844,'Cadastro Mestre'!$A$5:$A$504,0)),""))</f>
        <v/>
      </c>
      <c r="F844" s="21"/>
      <c r="G844" s="21"/>
      <c r="H844" s="21"/>
      <c r="I844" s="21"/>
    </row>
    <row r="845" customFormat="false" ht="15" hidden="false" customHeight="false" outlineLevel="0" collapsed="false">
      <c r="A845" s="25"/>
      <c r="B845" s="21"/>
      <c r="C845" s="21"/>
      <c r="D845" s="26" t="str">
        <f aca="false">IF(C845="","",IFERROR(INDEX('Cadastro Mestre'!$C$5:$C$504,MATCH(C845,'Cadastro Mestre'!$A$5:$A$504,0)),"código não encontrado"))</f>
        <v/>
      </c>
      <c r="E845" s="24" t="str">
        <f aca="false">IF(C845="","",IFERROR(INDEX('Cadastro Mestre'!$Q$5:$Q$504,MATCH(C845,'Cadastro Mestre'!$A$5:$A$504,0)),""))</f>
        <v/>
      </c>
      <c r="F845" s="21"/>
      <c r="G845" s="21"/>
      <c r="H845" s="21"/>
      <c r="I845" s="21"/>
    </row>
    <row r="846" customFormat="false" ht="15" hidden="false" customHeight="false" outlineLevel="0" collapsed="false">
      <c r="A846" s="25"/>
      <c r="B846" s="21"/>
      <c r="C846" s="21"/>
      <c r="D846" s="26" t="str">
        <f aca="false">IF(C846="","",IFERROR(INDEX('Cadastro Mestre'!$C$5:$C$504,MATCH(C846,'Cadastro Mestre'!$A$5:$A$504,0)),"código não encontrado"))</f>
        <v/>
      </c>
      <c r="E846" s="24" t="str">
        <f aca="false">IF(C846="","",IFERROR(INDEX('Cadastro Mestre'!$Q$5:$Q$504,MATCH(C846,'Cadastro Mestre'!$A$5:$A$504,0)),""))</f>
        <v/>
      </c>
      <c r="F846" s="21"/>
      <c r="G846" s="21"/>
      <c r="H846" s="21"/>
      <c r="I846" s="21"/>
    </row>
    <row r="847" customFormat="false" ht="15" hidden="false" customHeight="false" outlineLevel="0" collapsed="false">
      <c r="A847" s="25"/>
      <c r="B847" s="21"/>
      <c r="C847" s="21"/>
      <c r="D847" s="26" t="str">
        <f aca="false">IF(C847="","",IFERROR(INDEX('Cadastro Mestre'!$C$5:$C$504,MATCH(C847,'Cadastro Mestre'!$A$5:$A$504,0)),"código não encontrado"))</f>
        <v/>
      </c>
      <c r="E847" s="24" t="str">
        <f aca="false">IF(C847="","",IFERROR(INDEX('Cadastro Mestre'!$Q$5:$Q$504,MATCH(C847,'Cadastro Mestre'!$A$5:$A$504,0)),""))</f>
        <v/>
      </c>
      <c r="F847" s="21"/>
      <c r="G847" s="21"/>
      <c r="H847" s="21"/>
      <c r="I847" s="21"/>
    </row>
    <row r="848" customFormat="false" ht="15" hidden="false" customHeight="false" outlineLevel="0" collapsed="false">
      <c r="A848" s="25"/>
      <c r="B848" s="21"/>
      <c r="C848" s="21"/>
      <c r="D848" s="26" t="str">
        <f aca="false">IF(C848="","",IFERROR(INDEX('Cadastro Mestre'!$C$5:$C$504,MATCH(C848,'Cadastro Mestre'!$A$5:$A$504,0)),"código não encontrado"))</f>
        <v/>
      </c>
      <c r="E848" s="24" t="str">
        <f aca="false">IF(C848="","",IFERROR(INDEX('Cadastro Mestre'!$Q$5:$Q$504,MATCH(C848,'Cadastro Mestre'!$A$5:$A$504,0)),""))</f>
        <v/>
      </c>
      <c r="F848" s="21"/>
      <c r="G848" s="21"/>
      <c r="H848" s="21"/>
      <c r="I848" s="21"/>
    </row>
    <row r="849" customFormat="false" ht="15" hidden="false" customHeight="false" outlineLevel="0" collapsed="false">
      <c r="A849" s="25"/>
      <c r="B849" s="21"/>
      <c r="C849" s="21"/>
      <c r="D849" s="26" t="str">
        <f aca="false">IF(C849="","",IFERROR(INDEX('Cadastro Mestre'!$C$5:$C$504,MATCH(C849,'Cadastro Mestre'!$A$5:$A$504,0)),"código não encontrado"))</f>
        <v/>
      </c>
      <c r="E849" s="24" t="str">
        <f aca="false">IF(C849="","",IFERROR(INDEX('Cadastro Mestre'!$Q$5:$Q$504,MATCH(C849,'Cadastro Mestre'!$A$5:$A$504,0)),""))</f>
        <v/>
      </c>
      <c r="F849" s="21"/>
      <c r="G849" s="21"/>
      <c r="H849" s="21"/>
      <c r="I849" s="21"/>
    </row>
    <row r="850" customFormat="false" ht="15" hidden="false" customHeight="false" outlineLevel="0" collapsed="false">
      <c r="A850" s="25"/>
      <c r="B850" s="21"/>
      <c r="C850" s="21"/>
      <c r="D850" s="26" t="str">
        <f aca="false">IF(C850="","",IFERROR(INDEX('Cadastro Mestre'!$C$5:$C$504,MATCH(C850,'Cadastro Mestre'!$A$5:$A$504,0)),"código não encontrado"))</f>
        <v/>
      </c>
      <c r="E850" s="24" t="str">
        <f aca="false">IF(C850="","",IFERROR(INDEX('Cadastro Mestre'!$Q$5:$Q$504,MATCH(C850,'Cadastro Mestre'!$A$5:$A$504,0)),""))</f>
        <v/>
      </c>
      <c r="F850" s="21"/>
      <c r="G850" s="21"/>
      <c r="H850" s="21"/>
      <c r="I850" s="21"/>
    </row>
    <row r="851" customFormat="false" ht="15" hidden="false" customHeight="false" outlineLevel="0" collapsed="false">
      <c r="A851" s="25"/>
      <c r="B851" s="21"/>
      <c r="C851" s="21"/>
      <c r="D851" s="26" t="str">
        <f aca="false">IF(C851="","",IFERROR(INDEX('Cadastro Mestre'!$C$5:$C$504,MATCH(C851,'Cadastro Mestre'!$A$5:$A$504,0)),"código não encontrado"))</f>
        <v/>
      </c>
      <c r="E851" s="24" t="str">
        <f aca="false">IF(C851="","",IFERROR(INDEX('Cadastro Mestre'!$Q$5:$Q$504,MATCH(C851,'Cadastro Mestre'!$A$5:$A$504,0)),""))</f>
        <v/>
      </c>
      <c r="F851" s="21"/>
      <c r="G851" s="21"/>
      <c r="H851" s="21"/>
      <c r="I851" s="21"/>
    </row>
    <row r="852" customFormat="false" ht="15" hidden="false" customHeight="false" outlineLevel="0" collapsed="false">
      <c r="A852" s="25"/>
      <c r="B852" s="21"/>
      <c r="C852" s="21"/>
      <c r="D852" s="26" t="str">
        <f aca="false">IF(C852="","",IFERROR(INDEX('Cadastro Mestre'!$C$5:$C$504,MATCH(C852,'Cadastro Mestre'!$A$5:$A$504,0)),"código não encontrado"))</f>
        <v/>
      </c>
      <c r="E852" s="24" t="str">
        <f aca="false">IF(C852="","",IFERROR(INDEX('Cadastro Mestre'!$Q$5:$Q$504,MATCH(C852,'Cadastro Mestre'!$A$5:$A$504,0)),""))</f>
        <v/>
      </c>
      <c r="F852" s="21"/>
      <c r="G852" s="21"/>
      <c r="H852" s="21"/>
      <c r="I852" s="21"/>
    </row>
    <row r="853" customFormat="false" ht="15" hidden="false" customHeight="false" outlineLevel="0" collapsed="false">
      <c r="A853" s="25"/>
      <c r="B853" s="21"/>
      <c r="C853" s="21"/>
      <c r="D853" s="26" t="str">
        <f aca="false">IF(C853="","",IFERROR(INDEX('Cadastro Mestre'!$C$5:$C$504,MATCH(C853,'Cadastro Mestre'!$A$5:$A$504,0)),"código não encontrado"))</f>
        <v/>
      </c>
      <c r="E853" s="24" t="str">
        <f aca="false">IF(C853="","",IFERROR(INDEX('Cadastro Mestre'!$Q$5:$Q$504,MATCH(C853,'Cadastro Mestre'!$A$5:$A$504,0)),""))</f>
        <v/>
      </c>
      <c r="F853" s="21"/>
      <c r="G853" s="21"/>
      <c r="H853" s="21"/>
      <c r="I853" s="21"/>
    </row>
    <row r="854" customFormat="false" ht="15" hidden="false" customHeight="false" outlineLevel="0" collapsed="false">
      <c r="A854" s="25"/>
      <c r="B854" s="21"/>
      <c r="C854" s="21"/>
      <c r="D854" s="26" t="str">
        <f aca="false">IF(C854="","",IFERROR(INDEX('Cadastro Mestre'!$C$5:$C$504,MATCH(C854,'Cadastro Mestre'!$A$5:$A$504,0)),"código não encontrado"))</f>
        <v/>
      </c>
      <c r="E854" s="24" t="str">
        <f aca="false">IF(C854="","",IFERROR(INDEX('Cadastro Mestre'!$Q$5:$Q$504,MATCH(C854,'Cadastro Mestre'!$A$5:$A$504,0)),""))</f>
        <v/>
      </c>
      <c r="F854" s="21"/>
      <c r="G854" s="21"/>
      <c r="H854" s="21"/>
      <c r="I854" s="21"/>
    </row>
    <row r="855" customFormat="false" ht="15" hidden="false" customHeight="false" outlineLevel="0" collapsed="false">
      <c r="A855" s="25"/>
      <c r="B855" s="21"/>
      <c r="C855" s="21"/>
      <c r="D855" s="26" t="str">
        <f aca="false">IF(C855="","",IFERROR(INDEX('Cadastro Mestre'!$C$5:$C$504,MATCH(C855,'Cadastro Mestre'!$A$5:$A$504,0)),"código não encontrado"))</f>
        <v/>
      </c>
      <c r="E855" s="24" t="str">
        <f aca="false">IF(C855="","",IFERROR(INDEX('Cadastro Mestre'!$Q$5:$Q$504,MATCH(C855,'Cadastro Mestre'!$A$5:$A$504,0)),""))</f>
        <v/>
      </c>
      <c r="F855" s="21"/>
      <c r="G855" s="21"/>
      <c r="H855" s="21"/>
      <c r="I855" s="21"/>
    </row>
    <row r="856" customFormat="false" ht="15" hidden="false" customHeight="false" outlineLevel="0" collapsed="false">
      <c r="A856" s="25"/>
      <c r="B856" s="21"/>
      <c r="C856" s="21"/>
      <c r="D856" s="26" t="str">
        <f aca="false">IF(C856="","",IFERROR(INDEX('Cadastro Mestre'!$C$5:$C$504,MATCH(C856,'Cadastro Mestre'!$A$5:$A$504,0)),"código não encontrado"))</f>
        <v/>
      </c>
      <c r="E856" s="24" t="str">
        <f aca="false">IF(C856="","",IFERROR(INDEX('Cadastro Mestre'!$Q$5:$Q$504,MATCH(C856,'Cadastro Mestre'!$A$5:$A$504,0)),""))</f>
        <v/>
      </c>
      <c r="F856" s="21"/>
      <c r="G856" s="21"/>
      <c r="H856" s="21"/>
      <c r="I856" s="21"/>
    </row>
    <row r="857" customFormat="false" ht="15" hidden="false" customHeight="false" outlineLevel="0" collapsed="false">
      <c r="A857" s="25"/>
      <c r="B857" s="21"/>
      <c r="C857" s="21"/>
      <c r="D857" s="26" t="str">
        <f aca="false">IF(C857="","",IFERROR(INDEX('Cadastro Mestre'!$C$5:$C$504,MATCH(C857,'Cadastro Mestre'!$A$5:$A$504,0)),"código não encontrado"))</f>
        <v/>
      </c>
      <c r="E857" s="24" t="str">
        <f aca="false">IF(C857="","",IFERROR(INDEX('Cadastro Mestre'!$Q$5:$Q$504,MATCH(C857,'Cadastro Mestre'!$A$5:$A$504,0)),""))</f>
        <v/>
      </c>
      <c r="F857" s="21"/>
      <c r="G857" s="21"/>
      <c r="H857" s="21"/>
      <c r="I857" s="21"/>
    </row>
    <row r="858" customFormat="false" ht="15" hidden="false" customHeight="false" outlineLevel="0" collapsed="false">
      <c r="A858" s="25"/>
      <c r="B858" s="21"/>
      <c r="C858" s="21"/>
      <c r="D858" s="26" t="str">
        <f aca="false">IF(C858="","",IFERROR(INDEX('Cadastro Mestre'!$C$5:$C$504,MATCH(C858,'Cadastro Mestre'!$A$5:$A$504,0)),"código não encontrado"))</f>
        <v/>
      </c>
      <c r="E858" s="24" t="str">
        <f aca="false">IF(C858="","",IFERROR(INDEX('Cadastro Mestre'!$Q$5:$Q$504,MATCH(C858,'Cadastro Mestre'!$A$5:$A$504,0)),""))</f>
        <v/>
      </c>
      <c r="F858" s="21"/>
      <c r="G858" s="21"/>
      <c r="H858" s="21"/>
      <c r="I858" s="21"/>
    </row>
    <row r="859" customFormat="false" ht="15" hidden="false" customHeight="false" outlineLevel="0" collapsed="false">
      <c r="A859" s="25"/>
      <c r="B859" s="21"/>
      <c r="C859" s="21"/>
      <c r="D859" s="26" t="str">
        <f aca="false">IF(C859="","",IFERROR(INDEX('Cadastro Mestre'!$C$5:$C$504,MATCH(C859,'Cadastro Mestre'!$A$5:$A$504,0)),"código não encontrado"))</f>
        <v/>
      </c>
      <c r="E859" s="24" t="str">
        <f aca="false">IF(C859="","",IFERROR(INDEX('Cadastro Mestre'!$Q$5:$Q$504,MATCH(C859,'Cadastro Mestre'!$A$5:$A$504,0)),""))</f>
        <v/>
      </c>
      <c r="F859" s="21"/>
      <c r="G859" s="21"/>
      <c r="H859" s="21"/>
      <c r="I859" s="21"/>
    </row>
    <row r="860" customFormat="false" ht="15" hidden="false" customHeight="false" outlineLevel="0" collapsed="false">
      <c r="A860" s="25"/>
      <c r="B860" s="21"/>
      <c r="C860" s="21"/>
      <c r="D860" s="26" t="str">
        <f aca="false">IF(C860="","",IFERROR(INDEX('Cadastro Mestre'!$C$5:$C$504,MATCH(C860,'Cadastro Mestre'!$A$5:$A$504,0)),"código não encontrado"))</f>
        <v/>
      </c>
      <c r="E860" s="24" t="str">
        <f aca="false">IF(C860="","",IFERROR(INDEX('Cadastro Mestre'!$Q$5:$Q$504,MATCH(C860,'Cadastro Mestre'!$A$5:$A$504,0)),""))</f>
        <v/>
      </c>
      <c r="F860" s="21"/>
      <c r="G860" s="21"/>
      <c r="H860" s="21"/>
      <c r="I860" s="21"/>
    </row>
    <row r="861" customFormat="false" ht="15" hidden="false" customHeight="false" outlineLevel="0" collapsed="false">
      <c r="A861" s="25"/>
      <c r="B861" s="21"/>
      <c r="C861" s="21"/>
      <c r="D861" s="26" t="str">
        <f aca="false">IF(C861="","",IFERROR(INDEX('Cadastro Mestre'!$C$5:$C$504,MATCH(C861,'Cadastro Mestre'!$A$5:$A$504,0)),"código não encontrado"))</f>
        <v/>
      </c>
      <c r="E861" s="24" t="str">
        <f aca="false">IF(C861="","",IFERROR(INDEX('Cadastro Mestre'!$Q$5:$Q$504,MATCH(C861,'Cadastro Mestre'!$A$5:$A$504,0)),""))</f>
        <v/>
      </c>
      <c r="F861" s="21"/>
      <c r="G861" s="21"/>
      <c r="H861" s="21"/>
      <c r="I861" s="21"/>
    </row>
    <row r="862" customFormat="false" ht="15" hidden="false" customHeight="false" outlineLevel="0" collapsed="false">
      <c r="A862" s="25"/>
      <c r="B862" s="21"/>
      <c r="C862" s="21"/>
      <c r="D862" s="26" t="str">
        <f aca="false">IF(C862="","",IFERROR(INDEX('Cadastro Mestre'!$C$5:$C$504,MATCH(C862,'Cadastro Mestre'!$A$5:$A$504,0)),"código não encontrado"))</f>
        <v/>
      </c>
      <c r="E862" s="24" t="str">
        <f aca="false">IF(C862="","",IFERROR(INDEX('Cadastro Mestre'!$Q$5:$Q$504,MATCH(C862,'Cadastro Mestre'!$A$5:$A$504,0)),""))</f>
        <v/>
      </c>
      <c r="F862" s="21"/>
      <c r="G862" s="21"/>
      <c r="H862" s="21"/>
      <c r="I862" s="21"/>
    </row>
    <row r="863" customFormat="false" ht="15" hidden="false" customHeight="false" outlineLevel="0" collapsed="false">
      <c r="A863" s="25"/>
      <c r="B863" s="21"/>
      <c r="C863" s="21"/>
      <c r="D863" s="26" t="str">
        <f aca="false">IF(C863="","",IFERROR(INDEX('Cadastro Mestre'!$C$5:$C$504,MATCH(C863,'Cadastro Mestre'!$A$5:$A$504,0)),"código não encontrado"))</f>
        <v/>
      </c>
      <c r="E863" s="24" t="str">
        <f aca="false">IF(C863="","",IFERROR(INDEX('Cadastro Mestre'!$Q$5:$Q$504,MATCH(C863,'Cadastro Mestre'!$A$5:$A$504,0)),""))</f>
        <v/>
      </c>
      <c r="F863" s="21"/>
      <c r="G863" s="21"/>
      <c r="H863" s="21"/>
      <c r="I863" s="21"/>
    </row>
    <row r="864" customFormat="false" ht="15" hidden="false" customHeight="false" outlineLevel="0" collapsed="false">
      <c r="A864" s="25"/>
      <c r="B864" s="21"/>
      <c r="C864" s="21"/>
      <c r="D864" s="26" t="str">
        <f aca="false">IF(C864="","",IFERROR(INDEX('Cadastro Mestre'!$C$5:$C$504,MATCH(C864,'Cadastro Mestre'!$A$5:$A$504,0)),"código não encontrado"))</f>
        <v/>
      </c>
      <c r="E864" s="24" t="str">
        <f aca="false">IF(C864="","",IFERROR(INDEX('Cadastro Mestre'!$Q$5:$Q$504,MATCH(C864,'Cadastro Mestre'!$A$5:$A$504,0)),""))</f>
        <v/>
      </c>
      <c r="F864" s="21"/>
      <c r="G864" s="21"/>
      <c r="H864" s="21"/>
      <c r="I864" s="21"/>
    </row>
    <row r="865" customFormat="false" ht="15" hidden="false" customHeight="false" outlineLevel="0" collapsed="false">
      <c r="A865" s="25"/>
      <c r="B865" s="21"/>
      <c r="C865" s="21"/>
      <c r="D865" s="26" t="str">
        <f aca="false">IF(C865="","",IFERROR(INDEX('Cadastro Mestre'!$C$5:$C$504,MATCH(C865,'Cadastro Mestre'!$A$5:$A$504,0)),"código não encontrado"))</f>
        <v/>
      </c>
      <c r="E865" s="24" t="str">
        <f aca="false">IF(C865="","",IFERROR(INDEX('Cadastro Mestre'!$Q$5:$Q$504,MATCH(C865,'Cadastro Mestre'!$A$5:$A$504,0)),""))</f>
        <v/>
      </c>
      <c r="F865" s="21"/>
      <c r="G865" s="21"/>
      <c r="H865" s="21"/>
      <c r="I865" s="21"/>
    </row>
    <row r="866" customFormat="false" ht="15" hidden="false" customHeight="false" outlineLevel="0" collapsed="false">
      <c r="A866" s="25"/>
      <c r="B866" s="21"/>
      <c r="C866" s="21"/>
      <c r="D866" s="26" t="str">
        <f aca="false">IF(C866="","",IFERROR(INDEX('Cadastro Mestre'!$C$5:$C$504,MATCH(C866,'Cadastro Mestre'!$A$5:$A$504,0)),"código não encontrado"))</f>
        <v/>
      </c>
      <c r="E866" s="24" t="str">
        <f aca="false">IF(C866="","",IFERROR(INDEX('Cadastro Mestre'!$Q$5:$Q$504,MATCH(C866,'Cadastro Mestre'!$A$5:$A$504,0)),""))</f>
        <v/>
      </c>
      <c r="F866" s="21"/>
      <c r="G866" s="21"/>
      <c r="H866" s="21"/>
      <c r="I866" s="21"/>
    </row>
    <row r="867" customFormat="false" ht="15" hidden="false" customHeight="false" outlineLevel="0" collapsed="false">
      <c r="A867" s="25"/>
      <c r="B867" s="21"/>
      <c r="C867" s="21"/>
      <c r="D867" s="26" t="str">
        <f aca="false">IF(C867="","",IFERROR(INDEX('Cadastro Mestre'!$C$5:$C$504,MATCH(C867,'Cadastro Mestre'!$A$5:$A$504,0)),"código não encontrado"))</f>
        <v/>
      </c>
      <c r="E867" s="24" t="str">
        <f aca="false">IF(C867="","",IFERROR(INDEX('Cadastro Mestre'!$Q$5:$Q$504,MATCH(C867,'Cadastro Mestre'!$A$5:$A$504,0)),""))</f>
        <v/>
      </c>
      <c r="F867" s="21"/>
      <c r="G867" s="21"/>
      <c r="H867" s="21"/>
      <c r="I867" s="21"/>
    </row>
    <row r="868" customFormat="false" ht="15" hidden="false" customHeight="false" outlineLevel="0" collapsed="false">
      <c r="A868" s="25"/>
      <c r="B868" s="21"/>
      <c r="C868" s="21"/>
      <c r="D868" s="26" t="str">
        <f aca="false">IF(C868="","",IFERROR(INDEX('Cadastro Mestre'!$C$5:$C$504,MATCH(C868,'Cadastro Mestre'!$A$5:$A$504,0)),"código não encontrado"))</f>
        <v/>
      </c>
      <c r="E868" s="24" t="str">
        <f aca="false">IF(C868="","",IFERROR(INDEX('Cadastro Mestre'!$Q$5:$Q$504,MATCH(C868,'Cadastro Mestre'!$A$5:$A$504,0)),""))</f>
        <v/>
      </c>
      <c r="F868" s="21"/>
      <c r="G868" s="21"/>
      <c r="H868" s="21"/>
      <c r="I868" s="21"/>
    </row>
    <row r="869" customFormat="false" ht="15" hidden="false" customHeight="false" outlineLevel="0" collapsed="false">
      <c r="A869" s="25"/>
      <c r="B869" s="21"/>
      <c r="C869" s="21"/>
      <c r="D869" s="26" t="str">
        <f aca="false">IF(C869="","",IFERROR(INDEX('Cadastro Mestre'!$C$5:$C$504,MATCH(C869,'Cadastro Mestre'!$A$5:$A$504,0)),"código não encontrado"))</f>
        <v/>
      </c>
      <c r="E869" s="24" t="str">
        <f aca="false">IF(C869="","",IFERROR(INDEX('Cadastro Mestre'!$Q$5:$Q$504,MATCH(C869,'Cadastro Mestre'!$A$5:$A$504,0)),""))</f>
        <v/>
      </c>
      <c r="F869" s="21"/>
      <c r="G869" s="21"/>
      <c r="H869" s="21"/>
      <c r="I869" s="21"/>
    </row>
    <row r="870" customFormat="false" ht="15" hidden="false" customHeight="false" outlineLevel="0" collapsed="false">
      <c r="A870" s="25"/>
      <c r="B870" s="21"/>
      <c r="C870" s="21"/>
      <c r="D870" s="26" t="str">
        <f aca="false">IF(C870="","",IFERROR(INDEX('Cadastro Mestre'!$C$5:$C$504,MATCH(C870,'Cadastro Mestre'!$A$5:$A$504,0)),"código não encontrado"))</f>
        <v/>
      </c>
      <c r="E870" s="24" t="str">
        <f aca="false">IF(C870="","",IFERROR(INDEX('Cadastro Mestre'!$Q$5:$Q$504,MATCH(C870,'Cadastro Mestre'!$A$5:$A$504,0)),""))</f>
        <v/>
      </c>
      <c r="F870" s="21"/>
      <c r="G870" s="21"/>
      <c r="H870" s="21"/>
      <c r="I870" s="21"/>
    </row>
    <row r="871" customFormat="false" ht="15" hidden="false" customHeight="false" outlineLevel="0" collapsed="false">
      <c r="A871" s="25"/>
      <c r="B871" s="21"/>
      <c r="C871" s="21"/>
      <c r="D871" s="26" t="str">
        <f aca="false">IF(C871="","",IFERROR(INDEX('Cadastro Mestre'!$C$5:$C$504,MATCH(C871,'Cadastro Mestre'!$A$5:$A$504,0)),"código não encontrado"))</f>
        <v/>
      </c>
      <c r="E871" s="24" t="str">
        <f aca="false">IF(C871="","",IFERROR(INDEX('Cadastro Mestre'!$Q$5:$Q$504,MATCH(C871,'Cadastro Mestre'!$A$5:$A$504,0)),""))</f>
        <v/>
      </c>
      <c r="F871" s="21"/>
      <c r="G871" s="21"/>
      <c r="H871" s="21"/>
      <c r="I871" s="21"/>
    </row>
    <row r="872" customFormat="false" ht="15" hidden="false" customHeight="false" outlineLevel="0" collapsed="false">
      <c r="A872" s="25"/>
      <c r="B872" s="21"/>
      <c r="C872" s="21"/>
      <c r="D872" s="26" t="str">
        <f aca="false">IF(C872="","",IFERROR(INDEX('Cadastro Mestre'!$C$5:$C$504,MATCH(C872,'Cadastro Mestre'!$A$5:$A$504,0)),"código não encontrado"))</f>
        <v/>
      </c>
      <c r="E872" s="24" t="str">
        <f aca="false">IF(C872="","",IFERROR(INDEX('Cadastro Mestre'!$Q$5:$Q$504,MATCH(C872,'Cadastro Mestre'!$A$5:$A$504,0)),""))</f>
        <v/>
      </c>
      <c r="F872" s="21"/>
      <c r="G872" s="21"/>
      <c r="H872" s="21"/>
      <c r="I872" s="21"/>
    </row>
    <row r="873" customFormat="false" ht="15" hidden="false" customHeight="false" outlineLevel="0" collapsed="false">
      <c r="A873" s="25"/>
      <c r="B873" s="21"/>
      <c r="C873" s="21"/>
      <c r="D873" s="26" t="str">
        <f aca="false">IF(C873="","",IFERROR(INDEX('Cadastro Mestre'!$C$5:$C$504,MATCH(C873,'Cadastro Mestre'!$A$5:$A$504,0)),"código não encontrado"))</f>
        <v/>
      </c>
      <c r="E873" s="24" t="str">
        <f aca="false">IF(C873="","",IFERROR(INDEX('Cadastro Mestre'!$Q$5:$Q$504,MATCH(C873,'Cadastro Mestre'!$A$5:$A$504,0)),""))</f>
        <v/>
      </c>
      <c r="F873" s="21"/>
      <c r="G873" s="21"/>
      <c r="H873" s="21"/>
      <c r="I873" s="21"/>
    </row>
    <row r="874" customFormat="false" ht="15" hidden="false" customHeight="false" outlineLevel="0" collapsed="false">
      <c r="A874" s="25"/>
      <c r="B874" s="21"/>
      <c r="C874" s="21"/>
      <c r="D874" s="26" t="str">
        <f aca="false">IF(C874="","",IFERROR(INDEX('Cadastro Mestre'!$C$5:$C$504,MATCH(C874,'Cadastro Mestre'!$A$5:$A$504,0)),"código não encontrado"))</f>
        <v/>
      </c>
      <c r="E874" s="24" t="str">
        <f aca="false">IF(C874="","",IFERROR(INDEX('Cadastro Mestre'!$Q$5:$Q$504,MATCH(C874,'Cadastro Mestre'!$A$5:$A$504,0)),""))</f>
        <v/>
      </c>
      <c r="F874" s="21"/>
      <c r="G874" s="21"/>
      <c r="H874" s="21"/>
      <c r="I874" s="21"/>
    </row>
    <row r="875" customFormat="false" ht="15" hidden="false" customHeight="false" outlineLevel="0" collapsed="false">
      <c r="A875" s="25"/>
      <c r="B875" s="21"/>
      <c r="C875" s="21"/>
      <c r="D875" s="26" t="str">
        <f aca="false">IF(C875="","",IFERROR(INDEX('Cadastro Mestre'!$C$5:$C$504,MATCH(C875,'Cadastro Mestre'!$A$5:$A$504,0)),"código não encontrado"))</f>
        <v/>
      </c>
      <c r="E875" s="24" t="str">
        <f aca="false">IF(C875="","",IFERROR(INDEX('Cadastro Mestre'!$Q$5:$Q$504,MATCH(C875,'Cadastro Mestre'!$A$5:$A$504,0)),""))</f>
        <v/>
      </c>
      <c r="F875" s="21"/>
      <c r="G875" s="21"/>
      <c r="H875" s="21"/>
      <c r="I875" s="21"/>
    </row>
    <row r="876" customFormat="false" ht="15" hidden="false" customHeight="false" outlineLevel="0" collapsed="false">
      <c r="A876" s="25"/>
      <c r="B876" s="21"/>
      <c r="C876" s="21"/>
      <c r="D876" s="26" t="str">
        <f aca="false">IF(C876="","",IFERROR(INDEX('Cadastro Mestre'!$C$5:$C$504,MATCH(C876,'Cadastro Mestre'!$A$5:$A$504,0)),"código não encontrado"))</f>
        <v/>
      </c>
      <c r="E876" s="24" t="str">
        <f aca="false">IF(C876="","",IFERROR(INDEX('Cadastro Mestre'!$Q$5:$Q$504,MATCH(C876,'Cadastro Mestre'!$A$5:$A$504,0)),""))</f>
        <v/>
      </c>
      <c r="F876" s="21"/>
      <c r="G876" s="21"/>
      <c r="H876" s="21"/>
      <c r="I876" s="21"/>
    </row>
    <row r="877" customFormat="false" ht="15" hidden="false" customHeight="false" outlineLevel="0" collapsed="false">
      <c r="A877" s="25"/>
      <c r="B877" s="21"/>
      <c r="C877" s="21"/>
      <c r="D877" s="26" t="str">
        <f aca="false">IF(C877="","",IFERROR(INDEX('Cadastro Mestre'!$C$5:$C$504,MATCH(C877,'Cadastro Mestre'!$A$5:$A$504,0)),"código não encontrado"))</f>
        <v/>
      </c>
      <c r="E877" s="24" t="str">
        <f aca="false">IF(C877="","",IFERROR(INDEX('Cadastro Mestre'!$Q$5:$Q$504,MATCH(C877,'Cadastro Mestre'!$A$5:$A$504,0)),""))</f>
        <v/>
      </c>
      <c r="F877" s="21"/>
      <c r="G877" s="21"/>
      <c r="H877" s="21"/>
      <c r="I877" s="21"/>
    </row>
    <row r="878" customFormat="false" ht="15" hidden="false" customHeight="false" outlineLevel="0" collapsed="false">
      <c r="A878" s="25"/>
      <c r="B878" s="21"/>
      <c r="C878" s="21"/>
      <c r="D878" s="26" t="str">
        <f aca="false">IF(C878="","",IFERROR(INDEX('Cadastro Mestre'!$C$5:$C$504,MATCH(C878,'Cadastro Mestre'!$A$5:$A$504,0)),"código não encontrado"))</f>
        <v/>
      </c>
      <c r="E878" s="24" t="str">
        <f aca="false">IF(C878="","",IFERROR(INDEX('Cadastro Mestre'!$Q$5:$Q$504,MATCH(C878,'Cadastro Mestre'!$A$5:$A$504,0)),""))</f>
        <v/>
      </c>
      <c r="F878" s="21"/>
      <c r="G878" s="21"/>
      <c r="H878" s="21"/>
      <c r="I878" s="21"/>
    </row>
    <row r="879" customFormat="false" ht="15" hidden="false" customHeight="false" outlineLevel="0" collapsed="false">
      <c r="A879" s="25"/>
      <c r="B879" s="21"/>
      <c r="C879" s="21"/>
      <c r="D879" s="26" t="str">
        <f aca="false">IF(C879="","",IFERROR(INDEX('Cadastro Mestre'!$C$5:$C$504,MATCH(C879,'Cadastro Mestre'!$A$5:$A$504,0)),"código não encontrado"))</f>
        <v/>
      </c>
      <c r="E879" s="24" t="str">
        <f aca="false">IF(C879="","",IFERROR(INDEX('Cadastro Mestre'!$Q$5:$Q$504,MATCH(C879,'Cadastro Mestre'!$A$5:$A$504,0)),""))</f>
        <v/>
      </c>
      <c r="F879" s="21"/>
      <c r="G879" s="21"/>
      <c r="H879" s="21"/>
      <c r="I879" s="21"/>
    </row>
    <row r="880" customFormat="false" ht="15" hidden="false" customHeight="false" outlineLevel="0" collapsed="false">
      <c r="A880" s="25"/>
      <c r="B880" s="21"/>
      <c r="C880" s="21"/>
      <c r="D880" s="26" t="str">
        <f aca="false">IF(C880="","",IFERROR(INDEX('Cadastro Mestre'!$C$5:$C$504,MATCH(C880,'Cadastro Mestre'!$A$5:$A$504,0)),"código não encontrado"))</f>
        <v/>
      </c>
      <c r="E880" s="24" t="str">
        <f aca="false">IF(C880="","",IFERROR(INDEX('Cadastro Mestre'!$Q$5:$Q$504,MATCH(C880,'Cadastro Mestre'!$A$5:$A$504,0)),""))</f>
        <v/>
      </c>
      <c r="F880" s="21"/>
      <c r="G880" s="21"/>
      <c r="H880" s="21"/>
      <c r="I880" s="21"/>
    </row>
    <row r="881" customFormat="false" ht="15" hidden="false" customHeight="false" outlineLevel="0" collapsed="false">
      <c r="A881" s="25"/>
      <c r="B881" s="21"/>
      <c r="C881" s="21"/>
      <c r="D881" s="26" t="str">
        <f aca="false">IF(C881="","",IFERROR(INDEX('Cadastro Mestre'!$C$5:$C$504,MATCH(C881,'Cadastro Mestre'!$A$5:$A$504,0)),"código não encontrado"))</f>
        <v/>
      </c>
      <c r="E881" s="24" t="str">
        <f aca="false">IF(C881="","",IFERROR(INDEX('Cadastro Mestre'!$Q$5:$Q$504,MATCH(C881,'Cadastro Mestre'!$A$5:$A$504,0)),""))</f>
        <v/>
      </c>
      <c r="F881" s="21"/>
      <c r="G881" s="21"/>
      <c r="H881" s="21"/>
      <c r="I881" s="21"/>
    </row>
    <row r="882" customFormat="false" ht="15" hidden="false" customHeight="false" outlineLevel="0" collapsed="false">
      <c r="A882" s="25"/>
      <c r="B882" s="21"/>
      <c r="C882" s="21"/>
      <c r="D882" s="26" t="str">
        <f aca="false">IF(C882="","",IFERROR(INDEX('Cadastro Mestre'!$C$5:$C$504,MATCH(C882,'Cadastro Mestre'!$A$5:$A$504,0)),"código não encontrado"))</f>
        <v/>
      </c>
      <c r="E882" s="24" t="str">
        <f aca="false">IF(C882="","",IFERROR(INDEX('Cadastro Mestre'!$Q$5:$Q$504,MATCH(C882,'Cadastro Mestre'!$A$5:$A$504,0)),""))</f>
        <v/>
      </c>
      <c r="F882" s="21"/>
      <c r="G882" s="21"/>
      <c r="H882" s="21"/>
      <c r="I882" s="21"/>
    </row>
    <row r="883" customFormat="false" ht="15" hidden="false" customHeight="false" outlineLevel="0" collapsed="false">
      <c r="A883" s="25"/>
      <c r="B883" s="21"/>
      <c r="C883" s="21"/>
      <c r="D883" s="26" t="str">
        <f aca="false">IF(C883="","",IFERROR(INDEX('Cadastro Mestre'!$C$5:$C$504,MATCH(C883,'Cadastro Mestre'!$A$5:$A$504,0)),"código não encontrado"))</f>
        <v/>
      </c>
      <c r="E883" s="24" t="str">
        <f aca="false">IF(C883="","",IFERROR(INDEX('Cadastro Mestre'!$Q$5:$Q$504,MATCH(C883,'Cadastro Mestre'!$A$5:$A$504,0)),""))</f>
        <v/>
      </c>
      <c r="F883" s="21"/>
      <c r="G883" s="21"/>
      <c r="H883" s="21"/>
      <c r="I883" s="21"/>
    </row>
    <row r="884" customFormat="false" ht="15" hidden="false" customHeight="false" outlineLevel="0" collapsed="false">
      <c r="A884" s="25"/>
      <c r="B884" s="21"/>
      <c r="C884" s="21"/>
      <c r="D884" s="26" t="str">
        <f aca="false">IF(C884="","",IFERROR(INDEX('Cadastro Mestre'!$C$5:$C$504,MATCH(C884,'Cadastro Mestre'!$A$5:$A$504,0)),"código não encontrado"))</f>
        <v/>
      </c>
      <c r="E884" s="24" t="str">
        <f aca="false">IF(C884="","",IFERROR(INDEX('Cadastro Mestre'!$Q$5:$Q$504,MATCH(C884,'Cadastro Mestre'!$A$5:$A$504,0)),""))</f>
        <v/>
      </c>
      <c r="F884" s="21"/>
      <c r="G884" s="21"/>
      <c r="H884" s="21"/>
      <c r="I884" s="21"/>
    </row>
    <row r="885" customFormat="false" ht="15" hidden="false" customHeight="false" outlineLevel="0" collapsed="false">
      <c r="A885" s="25"/>
      <c r="B885" s="21"/>
      <c r="C885" s="21"/>
      <c r="D885" s="26" t="str">
        <f aca="false">IF(C885="","",IFERROR(INDEX('Cadastro Mestre'!$C$5:$C$504,MATCH(C885,'Cadastro Mestre'!$A$5:$A$504,0)),"código não encontrado"))</f>
        <v/>
      </c>
      <c r="E885" s="24" t="str">
        <f aca="false">IF(C885="","",IFERROR(INDEX('Cadastro Mestre'!$Q$5:$Q$504,MATCH(C885,'Cadastro Mestre'!$A$5:$A$504,0)),""))</f>
        <v/>
      </c>
      <c r="F885" s="21"/>
      <c r="G885" s="21"/>
      <c r="H885" s="21"/>
      <c r="I885" s="21"/>
    </row>
    <row r="886" customFormat="false" ht="15" hidden="false" customHeight="false" outlineLevel="0" collapsed="false">
      <c r="A886" s="25"/>
      <c r="B886" s="21"/>
      <c r="C886" s="21"/>
      <c r="D886" s="26" t="str">
        <f aca="false">IF(C886="","",IFERROR(INDEX('Cadastro Mestre'!$C$5:$C$504,MATCH(C886,'Cadastro Mestre'!$A$5:$A$504,0)),"código não encontrado"))</f>
        <v/>
      </c>
      <c r="E886" s="24" t="str">
        <f aca="false">IF(C886="","",IFERROR(INDEX('Cadastro Mestre'!$Q$5:$Q$504,MATCH(C886,'Cadastro Mestre'!$A$5:$A$504,0)),""))</f>
        <v/>
      </c>
      <c r="F886" s="21"/>
      <c r="G886" s="21"/>
      <c r="H886" s="21"/>
      <c r="I886" s="21"/>
    </row>
    <row r="887" customFormat="false" ht="15" hidden="false" customHeight="false" outlineLevel="0" collapsed="false">
      <c r="A887" s="25"/>
      <c r="B887" s="21"/>
      <c r="C887" s="21"/>
      <c r="D887" s="26" t="str">
        <f aca="false">IF(C887="","",IFERROR(INDEX('Cadastro Mestre'!$C$5:$C$504,MATCH(C887,'Cadastro Mestre'!$A$5:$A$504,0)),"código não encontrado"))</f>
        <v/>
      </c>
      <c r="E887" s="24" t="str">
        <f aca="false">IF(C887="","",IFERROR(INDEX('Cadastro Mestre'!$Q$5:$Q$504,MATCH(C887,'Cadastro Mestre'!$A$5:$A$504,0)),""))</f>
        <v/>
      </c>
      <c r="F887" s="21"/>
      <c r="G887" s="21"/>
      <c r="H887" s="21"/>
      <c r="I887" s="21"/>
    </row>
    <row r="888" customFormat="false" ht="15" hidden="false" customHeight="false" outlineLevel="0" collapsed="false">
      <c r="A888" s="25"/>
      <c r="B888" s="21"/>
      <c r="C888" s="21"/>
      <c r="D888" s="26" t="str">
        <f aca="false">IF(C888="","",IFERROR(INDEX('Cadastro Mestre'!$C$5:$C$504,MATCH(C888,'Cadastro Mestre'!$A$5:$A$504,0)),"código não encontrado"))</f>
        <v/>
      </c>
      <c r="E888" s="24" t="str">
        <f aca="false">IF(C888="","",IFERROR(INDEX('Cadastro Mestre'!$Q$5:$Q$504,MATCH(C888,'Cadastro Mestre'!$A$5:$A$504,0)),""))</f>
        <v/>
      </c>
      <c r="F888" s="21"/>
      <c r="G888" s="21"/>
      <c r="H888" s="21"/>
      <c r="I888" s="21"/>
    </row>
    <row r="889" customFormat="false" ht="15" hidden="false" customHeight="false" outlineLevel="0" collapsed="false">
      <c r="A889" s="25"/>
      <c r="B889" s="21"/>
      <c r="C889" s="21"/>
      <c r="D889" s="26" t="str">
        <f aca="false">IF(C889="","",IFERROR(INDEX('Cadastro Mestre'!$C$5:$C$504,MATCH(C889,'Cadastro Mestre'!$A$5:$A$504,0)),"código não encontrado"))</f>
        <v/>
      </c>
      <c r="E889" s="24" t="str">
        <f aca="false">IF(C889="","",IFERROR(INDEX('Cadastro Mestre'!$Q$5:$Q$504,MATCH(C889,'Cadastro Mestre'!$A$5:$A$504,0)),""))</f>
        <v/>
      </c>
      <c r="F889" s="21"/>
      <c r="G889" s="21"/>
      <c r="H889" s="21"/>
      <c r="I889" s="21"/>
    </row>
    <row r="890" customFormat="false" ht="15" hidden="false" customHeight="false" outlineLevel="0" collapsed="false">
      <c r="A890" s="25"/>
      <c r="B890" s="21"/>
      <c r="C890" s="21"/>
      <c r="D890" s="26" t="str">
        <f aca="false">IF(C890="","",IFERROR(INDEX('Cadastro Mestre'!$C$5:$C$504,MATCH(C890,'Cadastro Mestre'!$A$5:$A$504,0)),"código não encontrado"))</f>
        <v/>
      </c>
      <c r="E890" s="24" t="str">
        <f aca="false">IF(C890="","",IFERROR(INDEX('Cadastro Mestre'!$Q$5:$Q$504,MATCH(C890,'Cadastro Mestre'!$A$5:$A$504,0)),""))</f>
        <v/>
      </c>
      <c r="F890" s="21"/>
      <c r="G890" s="21"/>
      <c r="H890" s="21"/>
      <c r="I890" s="21"/>
    </row>
    <row r="891" customFormat="false" ht="15" hidden="false" customHeight="false" outlineLevel="0" collapsed="false">
      <c r="A891" s="25"/>
      <c r="B891" s="21"/>
      <c r="C891" s="21"/>
      <c r="D891" s="26" t="str">
        <f aca="false">IF(C891="","",IFERROR(INDEX('Cadastro Mestre'!$C$5:$C$504,MATCH(C891,'Cadastro Mestre'!$A$5:$A$504,0)),"código não encontrado"))</f>
        <v/>
      </c>
      <c r="E891" s="24" t="str">
        <f aca="false">IF(C891="","",IFERROR(INDEX('Cadastro Mestre'!$Q$5:$Q$504,MATCH(C891,'Cadastro Mestre'!$A$5:$A$504,0)),""))</f>
        <v/>
      </c>
      <c r="F891" s="21"/>
      <c r="G891" s="21"/>
      <c r="H891" s="21"/>
      <c r="I891" s="21"/>
    </row>
    <row r="892" customFormat="false" ht="15" hidden="false" customHeight="false" outlineLevel="0" collapsed="false">
      <c r="A892" s="25"/>
      <c r="B892" s="21"/>
      <c r="C892" s="21"/>
      <c r="D892" s="26" t="str">
        <f aca="false">IF(C892="","",IFERROR(INDEX('Cadastro Mestre'!$C$5:$C$504,MATCH(C892,'Cadastro Mestre'!$A$5:$A$504,0)),"código não encontrado"))</f>
        <v/>
      </c>
      <c r="E892" s="24" t="str">
        <f aca="false">IF(C892="","",IFERROR(INDEX('Cadastro Mestre'!$Q$5:$Q$504,MATCH(C892,'Cadastro Mestre'!$A$5:$A$504,0)),""))</f>
        <v/>
      </c>
      <c r="F892" s="21"/>
      <c r="G892" s="21"/>
      <c r="H892" s="21"/>
      <c r="I892" s="21"/>
    </row>
    <row r="893" customFormat="false" ht="15" hidden="false" customHeight="false" outlineLevel="0" collapsed="false">
      <c r="A893" s="25"/>
      <c r="B893" s="21"/>
      <c r="C893" s="21"/>
      <c r="D893" s="26" t="str">
        <f aca="false">IF(C893="","",IFERROR(INDEX('Cadastro Mestre'!$C$5:$C$504,MATCH(C893,'Cadastro Mestre'!$A$5:$A$504,0)),"código não encontrado"))</f>
        <v/>
      </c>
      <c r="E893" s="24" t="str">
        <f aca="false">IF(C893="","",IFERROR(INDEX('Cadastro Mestre'!$Q$5:$Q$504,MATCH(C893,'Cadastro Mestre'!$A$5:$A$504,0)),""))</f>
        <v/>
      </c>
      <c r="F893" s="21"/>
      <c r="G893" s="21"/>
      <c r="H893" s="21"/>
      <c r="I893" s="21"/>
    </row>
    <row r="894" customFormat="false" ht="15" hidden="false" customHeight="false" outlineLevel="0" collapsed="false">
      <c r="A894" s="25"/>
      <c r="B894" s="21"/>
      <c r="C894" s="21"/>
      <c r="D894" s="26" t="str">
        <f aca="false">IF(C894="","",IFERROR(INDEX('Cadastro Mestre'!$C$5:$C$504,MATCH(C894,'Cadastro Mestre'!$A$5:$A$504,0)),"código não encontrado"))</f>
        <v/>
      </c>
      <c r="E894" s="24" t="str">
        <f aca="false">IF(C894="","",IFERROR(INDEX('Cadastro Mestre'!$Q$5:$Q$504,MATCH(C894,'Cadastro Mestre'!$A$5:$A$504,0)),""))</f>
        <v/>
      </c>
      <c r="F894" s="21"/>
      <c r="G894" s="21"/>
      <c r="H894" s="21"/>
      <c r="I894" s="21"/>
    </row>
    <row r="895" customFormat="false" ht="15" hidden="false" customHeight="false" outlineLevel="0" collapsed="false">
      <c r="A895" s="25"/>
      <c r="B895" s="21"/>
      <c r="C895" s="21"/>
      <c r="D895" s="26" t="str">
        <f aca="false">IF(C895="","",IFERROR(INDEX('Cadastro Mestre'!$C$5:$C$504,MATCH(C895,'Cadastro Mestre'!$A$5:$A$504,0)),"código não encontrado"))</f>
        <v/>
      </c>
      <c r="E895" s="24" t="str">
        <f aca="false">IF(C895="","",IFERROR(INDEX('Cadastro Mestre'!$Q$5:$Q$504,MATCH(C895,'Cadastro Mestre'!$A$5:$A$504,0)),""))</f>
        <v/>
      </c>
      <c r="F895" s="21"/>
      <c r="G895" s="21"/>
      <c r="H895" s="21"/>
      <c r="I895" s="21"/>
    </row>
    <row r="896" customFormat="false" ht="15" hidden="false" customHeight="false" outlineLevel="0" collapsed="false">
      <c r="A896" s="25"/>
      <c r="B896" s="21"/>
      <c r="C896" s="21"/>
      <c r="D896" s="26" t="str">
        <f aca="false">IF(C896="","",IFERROR(INDEX('Cadastro Mestre'!$C$5:$C$504,MATCH(C896,'Cadastro Mestre'!$A$5:$A$504,0)),"código não encontrado"))</f>
        <v/>
      </c>
      <c r="E896" s="24" t="str">
        <f aca="false">IF(C896="","",IFERROR(INDEX('Cadastro Mestre'!$Q$5:$Q$504,MATCH(C896,'Cadastro Mestre'!$A$5:$A$504,0)),""))</f>
        <v/>
      </c>
      <c r="F896" s="21"/>
      <c r="G896" s="21"/>
      <c r="H896" s="21"/>
      <c r="I896" s="21"/>
    </row>
    <row r="897" customFormat="false" ht="15" hidden="false" customHeight="false" outlineLevel="0" collapsed="false">
      <c r="A897" s="25"/>
      <c r="B897" s="21"/>
      <c r="C897" s="21"/>
      <c r="D897" s="26" t="str">
        <f aca="false">IF(C897="","",IFERROR(INDEX('Cadastro Mestre'!$C$5:$C$504,MATCH(C897,'Cadastro Mestre'!$A$5:$A$504,0)),"código não encontrado"))</f>
        <v/>
      </c>
      <c r="E897" s="24" t="str">
        <f aca="false">IF(C897="","",IFERROR(INDEX('Cadastro Mestre'!$Q$5:$Q$504,MATCH(C897,'Cadastro Mestre'!$A$5:$A$504,0)),""))</f>
        <v/>
      </c>
      <c r="F897" s="21"/>
      <c r="G897" s="21"/>
      <c r="H897" s="21"/>
      <c r="I897" s="21"/>
    </row>
    <row r="898" customFormat="false" ht="15" hidden="false" customHeight="false" outlineLevel="0" collapsed="false">
      <c r="A898" s="25"/>
      <c r="B898" s="21"/>
      <c r="C898" s="21"/>
      <c r="D898" s="26" t="str">
        <f aca="false">IF(C898="","",IFERROR(INDEX('Cadastro Mestre'!$C$5:$C$504,MATCH(C898,'Cadastro Mestre'!$A$5:$A$504,0)),"código não encontrado"))</f>
        <v/>
      </c>
      <c r="E898" s="24" t="str">
        <f aca="false">IF(C898="","",IFERROR(INDEX('Cadastro Mestre'!$Q$5:$Q$504,MATCH(C898,'Cadastro Mestre'!$A$5:$A$504,0)),""))</f>
        <v/>
      </c>
      <c r="F898" s="21"/>
      <c r="G898" s="21"/>
      <c r="H898" s="21"/>
      <c r="I898" s="21"/>
    </row>
    <row r="899" customFormat="false" ht="15" hidden="false" customHeight="false" outlineLevel="0" collapsed="false">
      <c r="A899" s="25"/>
      <c r="B899" s="21"/>
      <c r="C899" s="21"/>
      <c r="D899" s="26" t="str">
        <f aca="false">IF(C899="","",IFERROR(INDEX('Cadastro Mestre'!$C$5:$C$504,MATCH(C899,'Cadastro Mestre'!$A$5:$A$504,0)),"código não encontrado"))</f>
        <v/>
      </c>
      <c r="E899" s="24" t="str">
        <f aca="false">IF(C899="","",IFERROR(INDEX('Cadastro Mestre'!$Q$5:$Q$504,MATCH(C899,'Cadastro Mestre'!$A$5:$A$504,0)),""))</f>
        <v/>
      </c>
      <c r="F899" s="21"/>
      <c r="G899" s="21"/>
      <c r="H899" s="21"/>
      <c r="I899" s="21"/>
    </row>
    <row r="900" customFormat="false" ht="15" hidden="false" customHeight="false" outlineLevel="0" collapsed="false">
      <c r="A900" s="25"/>
      <c r="B900" s="21"/>
      <c r="C900" s="21"/>
      <c r="D900" s="26" t="str">
        <f aca="false">IF(C900="","",IFERROR(INDEX('Cadastro Mestre'!$C$5:$C$504,MATCH(C900,'Cadastro Mestre'!$A$5:$A$504,0)),"código não encontrado"))</f>
        <v/>
      </c>
      <c r="E900" s="24" t="str">
        <f aca="false">IF(C900="","",IFERROR(INDEX('Cadastro Mestre'!$Q$5:$Q$504,MATCH(C900,'Cadastro Mestre'!$A$5:$A$504,0)),""))</f>
        <v/>
      </c>
      <c r="F900" s="21"/>
      <c r="G900" s="21"/>
      <c r="H900" s="21"/>
      <c r="I900" s="21"/>
    </row>
    <row r="901" customFormat="false" ht="15" hidden="false" customHeight="false" outlineLevel="0" collapsed="false">
      <c r="A901" s="25"/>
      <c r="B901" s="21"/>
      <c r="C901" s="21"/>
      <c r="D901" s="26" t="str">
        <f aca="false">IF(C901="","",IFERROR(INDEX('Cadastro Mestre'!$C$5:$C$504,MATCH(C901,'Cadastro Mestre'!$A$5:$A$504,0)),"código não encontrado"))</f>
        <v/>
      </c>
      <c r="E901" s="24" t="str">
        <f aca="false">IF(C901="","",IFERROR(INDEX('Cadastro Mestre'!$Q$5:$Q$504,MATCH(C901,'Cadastro Mestre'!$A$5:$A$504,0)),""))</f>
        <v/>
      </c>
      <c r="F901" s="21"/>
      <c r="G901" s="21"/>
      <c r="H901" s="21"/>
      <c r="I901" s="21"/>
    </row>
    <row r="902" customFormat="false" ht="15" hidden="false" customHeight="false" outlineLevel="0" collapsed="false">
      <c r="A902" s="25"/>
      <c r="B902" s="21"/>
      <c r="C902" s="21"/>
      <c r="D902" s="26" t="str">
        <f aca="false">IF(C902="","",IFERROR(INDEX('Cadastro Mestre'!$C$5:$C$504,MATCH(C902,'Cadastro Mestre'!$A$5:$A$504,0)),"código não encontrado"))</f>
        <v/>
      </c>
      <c r="E902" s="24" t="str">
        <f aca="false">IF(C902="","",IFERROR(INDEX('Cadastro Mestre'!$Q$5:$Q$504,MATCH(C902,'Cadastro Mestre'!$A$5:$A$504,0)),""))</f>
        <v/>
      </c>
      <c r="F902" s="21"/>
      <c r="G902" s="21"/>
      <c r="H902" s="21"/>
      <c r="I902" s="21"/>
    </row>
    <row r="903" customFormat="false" ht="15" hidden="false" customHeight="false" outlineLevel="0" collapsed="false">
      <c r="A903" s="25"/>
      <c r="B903" s="21"/>
      <c r="C903" s="21"/>
      <c r="D903" s="26" t="str">
        <f aca="false">IF(C903="","",IFERROR(INDEX('Cadastro Mestre'!$C$5:$C$504,MATCH(C903,'Cadastro Mestre'!$A$5:$A$504,0)),"código não encontrado"))</f>
        <v/>
      </c>
      <c r="E903" s="24" t="str">
        <f aca="false">IF(C903="","",IFERROR(INDEX('Cadastro Mestre'!$Q$5:$Q$504,MATCH(C903,'Cadastro Mestre'!$A$5:$A$504,0)),""))</f>
        <v/>
      </c>
      <c r="F903" s="21"/>
      <c r="G903" s="21"/>
      <c r="H903" s="21"/>
      <c r="I903" s="21"/>
    </row>
    <row r="904" customFormat="false" ht="15" hidden="false" customHeight="false" outlineLevel="0" collapsed="false">
      <c r="A904" s="25"/>
      <c r="B904" s="21"/>
      <c r="C904" s="21"/>
      <c r="D904" s="26" t="str">
        <f aca="false">IF(C904="","",IFERROR(INDEX('Cadastro Mestre'!$C$5:$C$504,MATCH(C904,'Cadastro Mestre'!$A$5:$A$504,0)),"código não encontrado"))</f>
        <v/>
      </c>
      <c r="E904" s="24" t="str">
        <f aca="false">IF(C904="","",IFERROR(INDEX('Cadastro Mestre'!$Q$5:$Q$504,MATCH(C904,'Cadastro Mestre'!$A$5:$A$504,0)),""))</f>
        <v/>
      </c>
      <c r="F904" s="21"/>
      <c r="G904" s="21"/>
      <c r="H904" s="21"/>
      <c r="I904" s="21"/>
    </row>
    <row r="905" customFormat="false" ht="15" hidden="false" customHeight="false" outlineLevel="0" collapsed="false">
      <c r="A905" s="25"/>
      <c r="B905" s="21"/>
      <c r="C905" s="21"/>
      <c r="D905" s="26" t="str">
        <f aca="false">IF(C905="","",IFERROR(INDEX('Cadastro Mestre'!$C$5:$C$504,MATCH(C905,'Cadastro Mestre'!$A$5:$A$504,0)),"código não encontrado"))</f>
        <v/>
      </c>
      <c r="E905" s="24" t="str">
        <f aca="false">IF(C905="","",IFERROR(INDEX('Cadastro Mestre'!$Q$5:$Q$504,MATCH(C905,'Cadastro Mestre'!$A$5:$A$504,0)),""))</f>
        <v/>
      </c>
      <c r="F905" s="21"/>
      <c r="G905" s="21"/>
      <c r="H905" s="21"/>
      <c r="I905" s="21"/>
    </row>
    <row r="906" customFormat="false" ht="15" hidden="false" customHeight="false" outlineLevel="0" collapsed="false">
      <c r="A906" s="25"/>
      <c r="B906" s="21"/>
      <c r="C906" s="21"/>
      <c r="D906" s="26" t="str">
        <f aca="false">IF(C906="","",IFERROR(INDEX('Cadastro Mestre'!$C$5:$C$504,MATCH(C906,'Cadastro Mestre'!$A$5:$A$504,0)),"código não encontrado"))</f>
        <v/>
      </c>
      <c r="E906" s="24" t="str">
        <f aca="false">IF(C906="","",IFERROR(INDEX('Cadastro Mestre'!$Q$5:$Q$504,MATCH(C906,'Cadastro Mestre'!$A$5:$A$504,0)),""))</f>
        <v/>
      </c>
      <c r="F906" s="21"/>
      <c r="G906" s="21"/>
      <c r="H906" s="21"/>
      <c r="I906" s="21"/>
    </row>
    <row r="907" customFormat="false" ht="15" hidden="false" customHeight="false" outlineLevel="0" collapsed="false">
      <c r="A907" s="25"/>
      <c r="B907" s="21"/>
      <c r="C907" s="21"/>
      <c r="D907" s="26" t="str">
        <f aca="false">IF(C907="","",IFERROR(INDEX('Cadastro Mestre'!$C$5:$C$504,MATCH(C907,'Cadastro Mestre'!$A$5:$A$504,0)),"código não encontrado"))</f>
        <v/>
      </c>
      <c r="E907" s="24" t="str">
        <f aca="false">IF(C907="","",IFERROR(INDEX('Cadastro Mestre'!$Q$5:$Q$504,MATCH(C907,'Cadastro Mestre'!$A$5:$A$504,0)),""))</f>
        <v/>
      </c>
      <c r="F907" s="21"/>
      <c r="G907" s="21"/>
      <c r="H907" s="21"/>
      <c r="I907" s="21"/>
    </row>
    <row r="908" customFormat="false" ht="15" hidden="false" customHeight="false" outlineLevel="0" collapsed="false">
      <c r="A908" s="25"/>
      <c r="B908" s="21"/>
      <c r="C908" s="21"/>
      <c r="D908" s="26" t="str">
        <f aca="false">IF(C908="","",IFERROR(INDEX('Cadastro Mestre'!$C$5:$C$504,MATCH(C908,'Cadastro Mestre'!$A$5:$A$504,0)),"código não encontrado"))</f>
        <v/>
      </c>
      <c r="E908" s="24" t="str">
        <f aca="false">IF(C908="","",IFERROR(INDEX('Cadastro Mestre'!$Q$5:$Q$504,MATCH(C908,'Cadastro Mestre'!$A$5:$A$504,0)),""))</f>
        <v/>
      </c>
      <c r="F908" s="21"/>
      <c r="G908" s="21"/>
      <c r="H908" s="21"/>
      <c r="I908" s="21"/>
    </row>
    <row r="909" customFormat="false" ht="15" hidden="false" customHeight="false" outlineLevel="0" collapsed="false">
      <c r="A909" s="25"/>
      <c r="B909" s="21"/>
      <c r="C909" s="21"/>
      <c r="D909" s="26" t="str">
        <f aca="false">IF(C909="","",IFERROR(INDEX('Cadastro Mestre'!$C$5:$C$504,MATCH(C909,'Cadastro Mestre'!$A$5:$A$504,0)),"código não encontrado"))</f>
        <v/>
      </c>
      <c r="E909" s="24" t="str">
        <f aca="false">IF(C909="","",IFERROR(INDEX('Cadastro Mestre'!$Q$5:$Q$504,MATCH(C909,'Cadastro Mestre'!$A$5:$A$504,0)),""))</f>
        <v/>
      </c>
      <c r="F909" s="21"/>
      <c r="G909" s="21"/>
      <c r="H909" s="21"/>
      <c r="I909" s="21"/>
    </row>
    <row r="910" customFormat="false" ht="15" hidden="false" customHeight="false" outlineLevel="0" collapsed="false">
      <c r="A910" s="25"/>
      <c r="B910" s="21"/>
      <c r="C910" s="21"/>
      <c r="D910" s="26" t="str">
        <f aca="false">IF(C910="","",IFERROR(INDEX('Cadastro Mestre'!$C$5:$C$504,MATCH(C910,'Cadastro Mestre'!$A$5:$A$504,0)),"código não encontrado"))</f>
        <v/>
      </c>
      <c r="E910" s="24" t="str">
        <f aca="false">IF(C910="","",IFERROR(INDEX('Cadastro Mestre'!$Q$5:$Q$504,MATCH(C910,'Cadastro Mestre'!$A$5:$A$504,0)),""))</f>
        <v/>
      </c>
      <c r="F910" s="21"/>
      <c r="G910" s="21"/>
      <c r="H910" s="21"/>
      <c r="I910" s="21"/>
    </row>
    <row r="911" customFormat="false" ht="15" hidden="false" customHeight="false" outlineLevel="0" collapsed="false">
      <c r="A911" s="25"/>
      <c r="B911" s="21"/>
      <c r="C911" s="21"/>
      <c r="D911" s="26" t="str">
        <f aca="false">IF(C911="","",IFERROR(INDEX('Cadastro Mestre'!$C$5:$C$504,MATCH(C911,'Cadastro Mestre'!$A$5:$A$504,0)),"código não encontrado"))</f>
        <v/>
      </c>
      <c r="E911" s="24" t="str">
        <f aca="false">IF(C911="","",IFERROR(INDEX('Cadastro Mestre'!$Q$5:$Q$504,MATCH(C911,'Cadastro Mestre'!$A$5:$A$504,0)),""))</f>
        <v/>
      </c>
      <c r="F911" s="21"/>
      <c r="G911" s="21"/>
      <c r="H911" s="21"/>
      <c r="I911" s="21"/>
    </row>
    <row r="912" customFormat="false" ht="15" hidden="false" customHeight="false" outlineLevel="0" collapsed="false">
      <c r="A912" s="25"/>
      <c r="B912" s="21"/>
      <c r="C912" s="21"/>
      <c r="D912" s="26" t="str">
        <f aca="false">IF(C912="","",IFERROR(INDEX('Cadastro Mestre'!$C$5:$C$504,MATCH(C912,'Cadastro Mestre'!$A$5:$A$504,0)),"código não encontrado"))</f>
        <v/>
      </c>
      <c r="E912" s="24" t="str">
        <f aca="false">IF(C912="","",IFERROR(INDEX('Cadastro Mestre'!$Q$5:$Q$504,MATCH(C912,'Cadastro Mestre'!$A$5:$A$504,0)),""))</f>
        <v/>
      </c>
      <c r="F912" s="21"/>
      <c r="G912" s="21"/>
      <c r="H912" s="21"/>
      <c r="I912" s="21"/>
    </row>
    <row r="913" customFormat="false" ht="15" hidden="false" customHeight="false" outlineLevel="0" collapsed="false">
      <c r="A913" s="25"/>
      <c r="B913" s="21"/>
      <c r="C913" s="21"/>
      <c r="D913" s="26" t="str">
        <f aca="false">IF(C913="","",IFERROR(INDEX('Cadastro Mestre'!$C$5:$C$504,MATCH(C913,'Cadastro Mestre'!$A$5:$A$504,0)),"código não encontrado"))</f>
        <v/>
      </c>
      <c r="E913" s="24" t="str">
        <f aca="false">IF(C913="","",IFERROR(INDEX('Cadastro Mestre'!$Q$5:$Q$504,MATCH(C913,'Cadastro Mestre'!$A$5:$A$504,0)),""))</f>
        <v/>
      </c>
      <c r="F913" s="21"/>
      <c r="G913" s="21"/>
      <c r="H913" s="21"/>
      <c r="I913" s="21"/>
    </row>
    <row r="914" customFormat="false" ht="15" hidden="false" customHeight="false" outlineLevel="0" collapsed="false">
      <c r="A914" s="25"/>
      <c r="B914" s="21"/>
      <c r="C914" s="21"/>
      <c r="D914" s="26" t="str">
        <f aca="false">IF(C914="","",IFERROR(INDEX('Cadastro Mestre'!$C$5:$C$504,MATCH(C914,'Cadastro Mestre'!$A$5:$A$504,0)),"código não encontrado"))</f>
        <v/>
      </c>
      <c r="E914" s="24" t="str">
        <f aca="false">IF(C914="","",IFERROR(INDEX('Cadastro Mestre'!$Q$5:$Q$504,MATCH(C914,'Cadastro Mestre'!$A$5:$A$504,0)),""))</f>
        <v/>
      </c>
      <c r="F914" s="21"/>
      <c r="G914" s="21"/>
      <c r="H914" s="21"/>
      <c r="I914" s="21"/>
    </row>
    <row r="915" customFormat="false" ht="15" hidden="false" customHeight="false" outlineLevel="0" collapsed="false">
      <c r="A915" s="25"/>
      <c r="B915" s="21"/>
      <c r="C915" s="21"/>
      <c r="D915" s="26" t="str">
        <f aca="false">IF(C915="","",IFERROR(INDEX('Cadastro Mestre'!$C$5:$C$504,MATCH(C915,'Cadastro Mestre'!$A$5:$A$504,0)),"código não encontrado"))</f>
        <v/>
      </c>
      <c r="E915" s="24" t="str">
        <f aca="false">IF(C915="","",IFERROR(INDEX('Cadastro Mestre'!$Q$5:$Q$504,MATCH(C915,'Cadastro Mestre'!$A$5:$A$504,0)),""))</f>
        <v/>
      </c>
      <c r="F915" s="21"/>
      <c r="G915" s="21"/>
      <c r="H915" s="21"/>
      <c r="I915" s="21"/>
    </row>
    <row r="916" customFormat="false" ht="15" hidden="false" customHeight="false" outlineLevel="0" collapsed="false">
      <c r="A916" s="25"/>
      <c r="B916" s="21"/>
      <c r="C916" s="21"/>
      <c r="D916" s="26" t="str">
        <f aca="false">IF(C916="","",IFERROR(INDEX('Cadastro Mestre'!$C$5:$C$504,MATCH(C916,'Cadastro Mestre'!$A$5:$A$504,0)),"código não encontrado"))</f>
        <v/>
      </c>
      <c r="E916" s="24" t="str">
        <f aca="false">IF(C916="","",IFERROR(INDEX('Cadastro Mestre'!$Q$5:$Q$504,MATCH(C916,'Cadastro Mestre'!$A$5:$A$504,0)),""))</f>
        <v/>
      </c>
      <c r="F916" s="21"/>
      <c r="G916" s="21"/>
      <c r="H916" s="21"/>
      <c r="I916" s="21"/>
    </row>
    <row r="917" customFormat="false" ht="15" hidden="false" customHeight="false" outlineLevel="0" collapsed="false">
      <c r="A917" s="25"/>
      <c r="B917" s="21"/>
      <c r="C917" s="21"/>
      <c r="D917" s="26" t="str">
        <f aca="false">IF(C917="","",IFERROR(INDEX('Cadastro Mestre'!$C$5:$C$504,MATCH(C917,'Cadastro Mestre'!$A$5:$A$504,0)),"código não encontrado"))</f>
        <v/>
      </c>
      <c r="E917" s="24" t="str">
        <f aca="false">IF(C917="","",IFERROR(INDEX('Cadastro Mestre'!$Q$5:$Q$504,MATCH(C917,'Cadastro Mestre'!$A$5:$A$504,0)),""))</f>
        <v/>
      </c>
      <c r="F917" s="21"/>
      <c r="G917" s="21"/>
      <c r="H917" s="21"/>
      <c r="I917" s="21"/>
    </row>
    <row r="918" customFormat="false" ht="15" hidden="false" customHeight="false" outlineLevel="0" collapsed="false">
      <c r="A918" s="25"/>
      <c r="B918" s="21"/>
      <c r="C918" s="21"/>
      <c r="D918" s="26" t="str">
        <f aca="false">IF(C918="","",IFERROR(INDEX('Cadastro Mestre'!$C$5:$C$504,MATCH(C918,'Cadastro Mestre'!$A$5:$A$504,0)),"código não encontrado"))</f>
        <v/>
      </c>
      <c r="E918" s="24" t="str">
        <f aca="false">IF(C918="","",IFERROR(INDEX('Cadastro Mestre'!$Q$5:$Q$504,MATCH(C918,'Cadastro Mestre'!$A$5:$A$504,0)),""))</f>
        <v/>
      </c>
      <c r="F918" s="21"/>
      <c r="G918" s="21"/>
      <c r="H918" s="21"/>
      <c r="I918" s="21"/>
    </row>
    <row r="919" customFormat="false" ht="15" hidden="false" customHeight="false" outlineLevel="0" collapsed="false">
      <c r="A919" s="25"/>
      <c r="B919" s="21"/>
      <c r="C919" s="21"/>
      <c r="D919" s="26" t="str">
        <f aca="false">IF(C919="","",IFERROR(INDEX('Cadastro Mestre'!$C$5:$C$504,MATCH(C919,'Cadastro Mestre'!$A$5:$A$504,0)),"código não encontrado"))</f>
        <v/>
      </c>
      <c r="E919" s="24" t="str">
        <f aca="false">IF(C919="","",IFERROR(INDEX('Cadastro Mestre'!$Q$5:$Q$504,MATCH(C919,'Cadastro Mestre'!$A$5:$A$504,0)),""))</f>
        <v/>
      </c>
      <c r="F919" s="21"/>
      <c r="G919" s="21"/>
      <c r="H919" s="21"/>
      <c r="I919" s="21"/>
    </row>
    <row r="920" customFormat="false" ht="15" hidden="false" customHeight="false" outlineLevel="0" collapsed="false">
      <c r="A920" s="25"/>
      <c r="B920" s="21"/>
      <c r="C920" s="21"/>
      <c r="D920" s="26" t="str">
        <f aca="false">IF(C920="","",IFERROR(INDEX('Cadastro Mestre'!$C$5:$C$504,MATCH(C920,'Cadastro Mestre'!$A$5:$A$504,0)),"código não encontrado"))</f>
        <v/>
      </c>
      <c r="E920" s="24" t="str">
        <f aca="false">IF(C920="","",IFERROR(INDEX('Cadastro Mestre'!$Q$5:$Q$504,MATCH(C920,'Cadastro Mestre'!$A$5:$A$504,0)),""))</f>
        <v/>
      </c>
      <c r="F920" s="21"/>
      <c r="G920" s="21"/>
      <c r="H920" s="21"/>
      <c r="I920" s="21"/>
    </row>
    <row r="921" customFormat="false" ht="15" hidden="false" customHeight="false" outlineLevel="0" collapsed="false">
      <c r="A921" s="25"/>
      <c r="B921" s="21"/>
      <c r="C921" s="21"/>
      <c r="D921" s="26" t="str">
        <f aca="false">IF(C921="","",IFERROR(INDEX('Cadastro Mestre'!$C$5:$C$504,MATCH(C921,'Cadastro Mestre'!$A$5:$A$504,0)),"código não encontrado"))</f>
        <v/>
      </c>
      <c r="E921" s="24" t="str">
        <f aca="false">IF(C921="","",IFERROR(INDEX('Cadastro Mestre'!$Q$5:$Q$504,MATCH(C921,'Cadastro Mestre'!$A$5:$A$504,0)),""))</f>
        <v/>
      </c>
      <c r="F921" s="21"/>
      <c r="G921" s="21"/>
      <c r="H921" s="21"/>
      <c r="I921" s="21"/>
    </row>
    <row r="922" customFormat="false" ht="15" hidden="false" customHeight="false" outlineLevel="0" collapsed="false">
      <c r="A922" s="25"/>
      <c r="B922" s="21"/>
      <c r="C922" s="21"/>
      <c r="D922" s="26" t="str">
        <f aca="false">IF(C922="","",IFERROR(INDEX('Cadastro Mestre'!$C$5:$C$504,MATCH(C922,'Cadastro Mestre'!$A$5:$A$504,0)),"código não encontrado"))</f>
        <v/>
      </c>
      <c r="E922" s="24" t="str">
        <f aca="false">IF(C922="","",IFERROR(INDEX('Cadastro Mestre'!$Q$5:$Q$504,MATCH(C922,'Cadastro Mestre'!$A$5:$A$504,0)),""))</f>
        <v/>
      </c>
      <c r="F922" s="21"/>
      <c r="G922" s="21"/>
      <c r="H922" s="21"/>
      <c r="I922" s="21"/>
    </row>
    <row r="923" customFormat="false" ht="15" hidden="false" customHeight="false" outlineLevel="0" collapsed="false">
      <c r="A923" s="25"/>
      <c r="B923" s="21"/>
      <c r="C923" s="21"/>
      <c r="D923" s="26" t="str">
        <f aca="false">IF(C923="","",IFERROR(INDEX('Cadastro Mestre'!$C$5:$C$504,MATCH(C923,'Cadastro Mestre'!$A$5:$A$504,0)),"código não encontrado"))</f>
        <v/>
      </c>
      <c r="E923" s="24" t="str">
        <f aca="false">IF(C923="","",IFERROR(INDEX('Cadastro Mestre'!$Q$5:$Q$504,MATCH(C923,'Cadastro Mestre'!$A$5:$A$504,0)),""))</f>
        <v/>
      </c>
      <c r="F923" s="21"/>
      <c r="G923" s="21"/>
      <c r="H923" s="21"/>
      <c r="I923" s="21"/>
    </row>
    <row r="924" customFormat="false" ht="15" hidden="false" customHeight="false" outlineLevel="0" collapsed="false">
      <c r="A924" s="25"/>
      <c r="B924" s="21"/>
      <c r="C924" s="21"/>
      <c r="D924" s="26" t="str">
        <f aca="false">IF(C924="","",IFERROR(INDEX('Cadastro Mestre'!$C$5:$C$504,MATCH(C924,'Cadastro Mestre'!$A$5:$A$504,0)),"código não encontrado"))</f>
        <v/>
      </c>
      <c r="E924" s="24" t="str">
        <f aca="false">IF(C924="","",IFERROR(INDEX('Cadastro Mestre'!$Q$5:$Q$504,MATCH(C924,'Cadastro Mestre'!$A$5:$A$504,0)),""))</f>
        <v/>
      </c>
      <c r="F924" s="21"/>
      <c r="G924" s="21"/>
      <c r="H924" s="21"/>
      <c r="I924" s="21"/>
    </row>
    <row r="925" customFormat="false" ht="15" hidden="false" customHeight="false" outlineLevel="0" collapsed="false">
      <c r="A925" s="25"/>
      <c r="B925" s="21"/>
      <c r="C925" s="21"/>
      <c r="D925" s="26" t="str">
        <f aca="false">IF(C925="","",IFERROR(INDEX('Cadastro Mestre'!$C$5:$C$504,MATCH(C925,'Cadastro Mestre'!$A$5:$A$504,0)),"código não encontrado"))</f>
        <v/>
      </c>
      <c r="E925" s="24" t="str">
        <f aca="false">IF(C925="","",IFERROR(INDEX('Cadastro Mestre'!$Q$5:$Q$504,MATCH(C925,'Cadastro Mestre'!$A$5:$A$504,0)),""))</f>
        <v/>
      </c>
      <c r="F925" s="21"/>
      <c r="G925" s="21"/>
      <c r="H925" s="21"/>
      <c r="I925" s="21"/>
    </row>
    <row r="926" customFormat="false" ht="15" hidden="false" customHeight="false" outlineLevel="0" collapsed="false">
      <c r="A926" s="25"/>
      <c r="B926" s="21"/>
      <c r="C926" s="21"/>
      <c r="D926" s="26" t="str">
        <f aca="false">IF(C926="","",IFERROR(INDEX('Cadastro Mestre'!$C$5:$C$504,MATCH(C926,'Cadastro Mestre'!$A$5:$A$504,0)),"código não encontrado"))</f>
        <v/>
      </c>
      <c r="E926" s="24" t="str">
        <f aca="false">IF(C926="","",IFERROR(INDEX('Cadastro Mestre'!$Q$5:$Q$504,MATCH(C926,'Cadastro Mestre'!$A$5:$A$504,0)),""))</f>
        <v/>
      </c>
      <c r="F926" s="21"/>
      <c r="G926" s="21"/>
      <c r="H926" s="21"/>
      <c r="I926" s="21"/>
    </row>
    <row r="927" customFormat="false" ht="15" hidden="false" customHeight="false" outlineLevel="0" collapsed="false">
      <c r="A927" s="25"/>
      <c r="B927" s="21"/>
      <c r="C927" s="21"/>
      <c r="D927" s="26" t="str">
        <f aca="false">IF(C927="","",IFERROR(INDEX('Cadastro Mestre'!$C$5:$C$504,MATCH(C927,'Cadastro Mestre'!$A$5:$A$504,0)),"código não encontrado"))</f>
        <v/>
      </c>
      <c r="E927" s="24" t="str">
        <f aca="false">IF(C927="","",IFERROR(INDEX('Cadastro Mestre'!$Q$5:$Q$504,MATCH(C927,'Cadastro Mestre'!$A$5:$A$504,0)),""))</f>
        <v/>
      </c>
      <c r="F927" s="21"/>
      <c r="G927" s="21"/>
      <c r="H927" s="21"/>
      <c r="I927" s="21"/>
    </row>
    <row r="928" customFormat="false" ht="15" hidden="false" customHeight="false" outlineLevel="0" collapsed="false">
      <c r="A928" s="25"/>
      <c r="B928" s="21"/>
      <c r="C928" s="21"/>
      <c r="D928" s="26" t="str">
        <f aca="false">IF(C928="","",IFERROR(INDEX('Cadastro Mestre'!$C$5:$C$504,MATCH(C928,'Cadastro Mestre'!$A$5:$A$504,0)),"código não encontrado"))</f>
        <v/>
      </c>
      <c r="E928" s="24" t="str">
        <f aca="false">IF(C928="","",IFERROR(INDEX('Cadastro Mestre'!$Q$5:$Q$504,MATCH(C928,'Cadastro Mestre'!$A$5:$A$504,0)),""))</f>
        <v/>
      </c>
      <c r="F928" s="21"/>
      <c r="G928" s="21"/>
      <c r="H928" s="21"/>
      <c r="I928" s="21"/>
    </row>
    <row r="929" customFormat="false" ht="15" hidden="false" customHeight="false" outlineLevel="0" collapsed="false">
      <c r="A929" s="25"/>
      <c r="B929" s="21"/>
      <c r="C929" s="21"/>
      <c r="D929" s="26" t="str">
        <f aca="false">IF(C929="","",IFERROR(INDEX('Cadastro Mestre'!$C$5:$C$504,MATCH(C929,'Cadastro Mestre'!$A$5:$A$504,0)),"código não encontrado"))</f>
        <v/>
      </c>
      <c r="E929" s="24" t="str">
        <f aca="false">IF(C929="","",IFERROR(INDEX('Cadastro Mestre'!$Q$5:$Q$504,MATCH(C929,'Cadastro Mestre'!$A$5:$A$504,0)),""))</f>
        <v/>
      </c>
      <c r="F929" s="21"/>
      <c r="G929" s="21"/>
      <c r="H929" s="21"/>
      <c r="I929" s="21"/>
    </row>
    <row r="930" customFormat="false" ht="15" hidden="false" customHeight="false" outlineLevel="0" collapsed="false">
      <c r="A930" s="25"/>
      <c r="B930" s="21"/>
      <c r="C930" s="21"/>
      <c r="D930" s="26" t="str">
        <f aca="false">IF(C930="","",IFERROR(INDEX('Cadastro Mestre'!$C$5:$C$504,MATCH(C930,'Cadastro Mestre'!$A$5:$A$504,0)),"código não encontrado"))</f>
        <v/>
      </c>
      <c r="E930" s="24" t="str">
        <f aca="false">IF(C930="","",IFERROR(INDEX('Cadastro Mestre'!$Q$5:$Q$504,MATCH(C930,'Cadastro Mestre'!$A$5:$A$504,0)),""))</f>
        <v/>
      </c>
      <c r="F930" s="21"/>
      <c r="G930" s="21"/>
      <c r="H930" s="21"/>
      <c r="I930" s="21"/>
    </row>
    <row r="931" customFormat="false" ht="15" hidden="false" customHeight="false" outlineLevel="0" collapsed="false">
      <c r="A931" s="25"/>
      <c r="B931" s="21"/>
      <c r="C931" s="21"/>
      <c r="D931" s="26" t="str">
        <f aca="false">IF(C931="","",IFERROR(INDEX('Cadastro Mestre'!$C$5:$C$504,MATCH(C931,'Cadastro Mestre'!$A$5:$A$504,0)),"código não encontrado"))</f>
        <v/>
      </c>
      <c r="E931" s="24" t="str">
        <f aca="false">IF(C931="","",IFERROR(INDEX('Cadastro Mestre'!$Q$5:$Q$504,MATCH(C931,'Cadastro Mestre'!$A$5:$A$504,0)),""))</f>
        <v/>
      </c>
      <c r="F931" s="21"/>
      <c r="G931" s="21"/>
      <c r="H931" s="21"/>
      <c r="I931" s="21"/>
    </row>
    <row r="932" customFormat="false" ht="15" hidden="false" customHeight="false" outlineLevel="0" collapsed="false">
      <c r="A932" s="25"/>
      <c r="B932" s="21"/>
      <c r="C932" s="21"/>
      <c r="D932" s="26" t="str">
        <f aca="false">IF(C932="","",IFERROR(INDEX('Cadastro Mestre'!$C$5:$C$504,MATCH(C932,'Cadastro Mestre'!$A$5:$A$504,0)),"código não encontrado"))</f>
        <v/>
      </c>
      <c r="E932" s="24" t="str">
        <f aca="false">IF(C932="","",IFERROR(INDEX('Cadastro Mestre'!$Q$5:$Q$504,MATCH(C932,'Cadastro Mestre'!$A$5:$A$504,0)),""))</f>
        <v/>
      </c>
      <c r="F932" s="21"/>
      <c r="G932" s="21"/>
      <c r="H932" s="21"/>
      <c r="I932" s="21"/>
    </row>
    <row r="933" customFormat="false" ht="15" hidden="false" customHeight="false" outlineLevel="0" collapsed="false">
      <c r="A933" s="25"/>
      <c r="B933" s="21"/>
      <c r="C933" s="21"/>
      <c r="D933" s="26" t="str">
        <f aca="false">IF(C933="","",IFERROR(INDEX('Cadastro Mestre'!$C$5:$C$504,MATCH(C933,'Cadastro Mestre'!$A$5:$A$504,0)),"código não encontrado"))</f>
        <v/>
      </c>
      <c r="E933" s="24" t="str">
        <f aca="false">IF(C933="","",IFERROR(INDEX('Cadastro Mestre'!$Q$5:$Q$504,MATCH(C933,'Cadastro Mestre'!$A$5:$A$504,0)),""))</f>
        <v/>
      </c>
      <c r="F933" s="21"/>
      <c r="G933" s="21"/>
      <c r="H933" s="21"/>
      <c r="I933" s="21"/>
    </row>
    <row r="934" customFormat="false" ht="15" hidden="false" customHeight="false" outlineLevel="0" collapsed="false">
      <c r="A934" s="25"/>
      <c r="B934" s="21"/>
      <c r="C934" s="21"/>
      <c r="D934" s="26" t="str">
        <f aca="false">IF(C934="","",IFERROR(INDEX('Cadastro Mestre'!$C$5:$C$504,MATCH(C934,'Cadastro Mestre'!$A$5:$A$504,0)),"código não encontrado"))</f>
        <v/>
      </c>
      <c r="E934" s="24" t="str">
        <f aca="false">IF(C934="","",IFERROR(INDEX('Cadastro Mestre'!$Q$5:$Q$504,MATCH(C934,'Cadastro Mestre'!$A$5:$A$504,0)),""))</f>
        <v/>
      </c>
      <c r="F934" s="21"/>
      <c r="G934" s="21"/>
      <c r="H934" s="21"/>
      <c r="I934" s="21"/>
    </row>
    <row r="935" customFormat="false" ht="15" hidden="false" customHeight="false" outlineLevel="0" collapsed="false">
      <c r="A935" s="25"/>
      <c r="B935" s="21"/>
      <c r="C935" s="21"/>
      <c r="D935" s="26" t="str">
        <f aca="false">IF(C935="","",IFERROR(INDEX('Cadastro Mestre'!$C$5:$C$504,MATCH(C935,'Cadastro Mestre'!$A$5:$A$504,0)),"código não encontrado"))</f>
        <v/>
      </c>
      <c r="E935" s="24" t="str">
        <f aca="false">IF(C935="","",IFERROR(INDEX('Cadastro Mestre'!$Q$5:$Q$504,MATCH(C935,'Cadastro Mestre'!$A$5:$A$504,0)),""))</f>
        <v/>
      </c>
      <c r="F935" s="21"/>
      <c r="G935" s="21"/>
      <c r="H935" s="21"/>
      <c r="I935" s="21"/>
    </row>
    <row r="936" customFormat="false" ht="15" hidden="false" customHeight="false" outlineLevel="0" collapsed="false">
      <c r="A936" s="25"/>
      <c r="B936" s="21"/>
      <c r="C936" s="21"/>
      <c r="D936" s="26" t="str">
        <f aca="false">IF(C936="","",IFERROR(INDEX('Cadastro Mestre'!$C$5:$C$504,MATCH(C936,'Cadastro Mestre'!$A$5:$A$504,0)),"código não encontrado"))</f>
        <v/>
      </c>
      <c r="E936" s="24" t="str">
        <f aca="false">IF(C936="","",IFERROR(INDEX('Cadastro Mestre'!$Q$5:$Q$504,MATCH(C936,'Cadastro Mestre'!$A$5:$A$504,0)),""))</f>
        <v/>
      </c>
      <c r="F936" s="21"/>
      <c r="G936" s="21"/>
      <c r="H936" s="21"/>
      <c r="I936" s="21"/>
    </row>
    <row r="937" customFormat="false" ht="15" hidden="false" customHeight="false" outlineLevel="0" collapsed="false">
      <c r="A937" s="25"/>
      <c r="B937" s="21"/>
      <c r="C937" s="21"/>
      <c r="D937" s="26" t="str">
        <f aca="false">IF(C937="","",IFERROR(INDEX('Cadastro Mestre'!$C$5:$C$504,MATCH(C937,'Cadastro Mestre'!$A$5:$A$504,0)),"código não encontrado"))</f>
        <v/>
      </c>
      <c r="E937" s="24" t="str">
        <f aca="false">IF(C937="","",IFERROR(INDEX('Cadastro Mestre'!$Q$5:$Q$504,MATCH(C937,'Cadastro Mestre'!$A$5:$A$504,0)),""))</f>
        <v/>
      </c>
      <c r="F937" s="21"/>
      <c r="G937" s="21"/>
      <c r="H937" s="21"/>
      <c r="I937" s="21"/>
    </row>
    <row r="938" customFormat="false" ht="15" hidden="false" customHeight="false" outlineLevel="0" collapsed="false">
      <c r="A938" s="25"/>
      <c r="B938" s="21"/>
      <c r="C938" s="21"/>
      <c r="D938" s="26" t="str">
        <f aca="false">IF(C938="","",IFERROR(INDEX('Cadastro Mestre'!$C$5:$C$504,MATCH(C938,'Cadastro Mestre'!$A$5:$A$504,0)),"código não encontrado"))</f>
        <v/>
      </c>
      <c r="E938" s="24" t="str">
        <f aca="false">IF(C938="","",IFERROR(INDEX('Cadastro Mestre'!$Q$5:$Q$504,MATCH(C938,'Cadastro Mestre'!$A$5:$A$504,0)),""))</f>
        <v/>
      </c>
      <c r="F938" s="21"/>
      <c r="G938" s="21"/>
      <c r="H938" s="21"/>
      <c r="I938" s="21"/>
    </row>
    <row r="939" customFormat="false" ht="15" hidden="false" customHeight="false" outlineLevel="0" collapsed="false">
      <c r="A939" s="25"/>
      <c r="B939" s="21"/>
      <c r="C939" s="21"/>
      <c r="D939" s="26" t="str">
        <f aca="false">IF(C939="","",IFERROR(INDEX('Cadastro Mestre'!$C$5:$C$504,MATCH(C939,'Cadastro Mestre'!$A$5:$A$504,0)),"código não encontrado"))</f>
        <v/>
      </c>
      <c r="E939" s="24" t="str">
        <f aca="false">IF(C939="","",IFERROR(INDEX('Cadastro Mestre'!$Q$5:$Q$504,MATCH(C939,'Cadastro Mestre'!$A$5:$A$504,0)),""))</f>
        <v/>
      </c>
      <c r="F939" s="21"/>
      <c r="G939" s="21"/>
      <c r="H939" s="21"/>
      <c r="I939" s="21"/>
    </row>
    <row r="940" customFormat="false" ht="15" hidden="false" customHeight="false" outlineLevel="0" collapsed="false">
      <c r="A940" s="25"/>
      <c r="B940" s="21"/>
      <c r="C940" s="21"/>
      <c r="D940" s="26" t="str">
        <f aca="false">IF(C940="","",IFERROR(INDEX('Cadastro Mestre'!$C$5:$C$504,MATCH(C940,'Cadastro Mestre'!$A$5:$A$504,0)),"código não encontrado"))</f>
        <v/>
      </c>
      <c r="E940" s="24" t="str">
        <f aca="false">IF(C940="","",IFERROR(INDEX('Cadastro Mestre'!$Q$5:$Q$504,MATCH(C940,'Cadastro Mestre'!$A$5:$A$504,0)),""))</f>
        <v/>
      </c>
      <c r="F940" s="21"/>
      <c r="G940" s="21"/>
      <c r="H940" s="21"/>
      <c r="I940" s="21"/>
    </row>
    <row r="941" customFormat="false" ht="15" hidden="false" customHeight="false" outlineLevel="0" collapsed="false">
      <c r="A941" s="25"/>
      <c r="B941" s="21"/>
      <c r="C941" s="21"/>
      <c r="D941" s="26" t="str">
        <f aca="false">IF(C941="","",IFERROR(INDEX('Cadastro Mestre'!$C$5:$C$504,MATCH(C941,'Cadastro Mestre'!$A$5:$A$504,0)),"código não encontrado"))</f>
        <v/>
      </c>
      <c r="E941" s="24" t="str">
        <f aca="false">IF(C941="","",IFERROR(INDEX('Cadastro Mestre'!$Q$5:$Q$504,MATCH(C941,'Cadastro Mestre'!$A$5:$A$504,0)),""))</f>
        <v/>
      </c>
      <c r="F941" s="21"/>
      <c r="G941" s="21"/>
      <c r="H941" s="21"/>
      <c r="I941" s="21"/>
    </row>
    <row r="942" customFormat="false" ht="15" hidden="false" customHeight="false" outlineLevel="0" collapsed="false">
      <c r="A942" s="25"/>
      <c r="B942" s="21"/>
      <c r="C942" s="21"/>
      <c r="D942" s="26" t="str">
        <f aca="false">IF(C942="","",IFERROR(INDEX('Cadastro Mestre'!$C$5:$C$504,MATCH(C942,'Cadastro Mestre'!$A$5:$A$504,0)),"código não encontrado"))</f>
        <v/>
      </c>
      <c r="E942" s="24" t="str">
        <f aca="false">IF(C942="","",IFERROR(INDEX('Cadastro Mestre'!$Q$5:$Q$504,MATCH(C942,'Cadastro Mestre'!$A$5:$A$504,0)),""))</f>
        <v/>
      </c>
      <c r="F942" s="21"/>
      <c r="G942" s="21"/>
      <c r="H942" s="21"/>
      <c r="I942" s="21"/>
    </row>
    <row r="943" customFormat="false" ht="15" hidden="false" customHeight="false" outlineLevel="0" collapsed="false">
      <c r="A943" s="25"/>
      <c r="B943" s="21"/>
      <c r="C943" s="21"/>
      <c r="D943" s="26" t="str">
        <f aca="false">IF(C943="","",IFERROR(INDEX('Cadastro Mestre'!$C$5:$C$504,MATCH(C943,'Cadastro Mestre'!$A$5:$A$504,0)),"código não encontrado"))</f>
        <v/>
      </c>
      <c r="E943" s="24" t="str">
        <f aca="false">IF(C943="","",IFERROR(INDEX('Cadastro Mestre'!$Q$5:$Q$504,MATCH(C943,'Cadastro Mestre'!$A$5:$A$504,0)),""))</f>
        <v/>
      </c>
      <c r="F943" s="21"/>
      <c r="G943" s="21"/>
      <c r="H943" s="21"/>
      <c r="I943" s="21"/>
    </row>
    <row r="944" customFormat="false" ht="15" hidden="false" customHeight="false" outlineLevel="0" collapsed="false">
      <c r="A944" s="25"/>
      <c r="B944" s="21"/>
      <c r="C944" s="21"/>
      <c r="D944" s="26" t="str">
        <f aca="false">IF(C944="","",IFERROR(INDEX('Cadastro Mestre'!$C$5:$C$504,MATCH(C944,'Cadastro Mestre'!$A$5:$A$504,0)),"código não encontrado"))</f>
        <v/>
      </c>
      <c r="E944" s="24" t="str">
        <f aca="false">IF(C944="","",IFERROR(INDEX('Cadastro Mestre'!$Q$5:$Q$504,MATCH(C944,'Cadastro Mestre'!$A$5:$A$504,0)),""))</f>
        <v/>
      </c>
      <c r="F944" s="21"/>
      <c r="G944" s="21"/>
      <c r="H944" s="21"/>
      <c r="I944" s="21"/>
    </row>
    <row r="945" customFormat="false" ht="15" hidden="false" customHeight="false" outlineLevel="0" collapsed="false">
      <c r="A945" s="25"/>
      <c r="B945" s="21"/>
      <c r="C945" s="21"/>
      <c r="D945" s="26" t="str">
        <f aca="false">IF(C945="","",IFERROR(INDEX('Cadastro Mestre'!$C$5:$C$504,MATCH(C945,'Cadastro Mestre'!$A$5:$A$504,0)),"código não encontrado"))</f>
        <v/>
      </c>
      <c r="E945" s="24" t="str">
        <f aca="false">IF(C945="","",IFERROR(INDEX('Cadastro Mestre'!$Q$5:$Q$504,MATCH(C945,'Cadastro Mestre'!$A$5:$A$504,0)),""))</f>
        <v/>
      </c>
      <c r="F945" s="21"/>
      <c r="G945" s="21"/>
      <c r="H945" s="21"/>
      <c r="I945" s="21"/>
    </row>
    <row r="946" customFormat="false" ht="15" hidden="false" customHeight="false" outlineLevel="0" collapsed="false">
      <c r="A946" s="25"/>
      <c r="B946" s="21"/>
      <c r="C946" s="21"/>
      <c r="D946" s="26" t="str">
        <f aca="false">IF(C946="","",IFERROR(INDEX('Cadastro Mestre'!$C$5:$C$504,MATCH(C946,'Cadastro Mestre'!$A$5:$A$504,0)),"código não encontrado"))</f>
        <v/>
      </c>
      <c r="E946" s="24" t="str">
        <f aca="false">IF(C946="","",IFERROR(INDEX('Cadastro Mestre'!$Q$5:$Q$504,MATCH(C946,'Cadastro Mestre'!$A$5:$A$504,0)),""))</f>
        <v/>
      </c>
      <c r="F946" s="21"/>
      <c r="G946" s="21"/>
      <c r="H946" s="21"/>
      <c r="I946" s="21"/>
    </row>
    <row r="947" customFormat="false" ht="15" hidden="false" customHeight="false" outlineLevel="0" collapsed="false">
      <c r="A947" s="25"/>
      <c r="B947" s="21"/>
      <c r="C947" s="21"/>
      <c r="D947" s="26" t="str">
        <f aca="false">IF(C947="","",IFERROR(INDEX('Cadastro Mestre'!$C$5:$C$504,MATCH(C947,'Cadastro Mestre'!$A$5:$A$504,0)),"código não encontrado"))</f>
        <v/>
      </c>
      <c r="E947" s="24" t="str">
        <f aca="false">IF(C947="","",IFERROR(INDEX('Cadastro Mestre'!$Q$5:$Q$504,MATCH(C947,'Cadastro Mestre'!$A$5:$A$504,0)),""))</f>
        <v/>
      </c>
      <c r="F947" s="21"/>
      <c r="G947" s="21"/>
      <c r="H947" s="21"/>
      <c r="I947" s="21"/>
    </row>
    <row r="948" customFormat="false" ht="15" hidden="false" customHeight="false" outlineLevel="0" collapsed="false">
      <c r="A948" s="25"/>
      <c r="B948" s="21"/>
      <c r="C948" s="21"/>
      <c r="D948" s="26" t="str">
        <f aca="false">IF(C948="","",IFERROR(INDEX('Cadastro Mestre'!$C$5:$C$504,MATCH(C948,'Cadastro Mestre'!$A$5:$A$504,0)),"código não encontrado"))</f>
        <v/>
      </c>
      <c r="E948" s="24" t="str">
        <f aca="false">IF(C948="","",IFERROR(INDEX('Cadastro Mestre'!$Q$5:$Q$504,MATCH(C948,'Cadastro Mestre'!$A$5:$A$504,0)),""))</f>
        <v/>
      </c>
      <c r="F948" s="21"/>
      <c r="G948" s="21"/>
      <c r="H948" s="21"/>
      <c r="I948" s="21"/>
    </row>
    <row r="949" customFormat="false" ht="15" hidden="false" customHeight="false" outlineLevel="0" collapsed="false">
      <c r="A949" s="25"/>
      <c r="B949" s="21"/>
      <c r="C949" s="21"/>
      <c r="D949" s="26" t="str">
        <f aca="false">IF(C949="","",IFERROR(INDEX('Cadastro Mestre'!$C$5:$C$504,MATCH(C949,'Cadastro Mestre'!$A$5:$A$504,0)),"código não encontrado"))</f>
        <v/>
      </c>
      <c r="E949" s="24" t="str">
        <f aca="false">IF(C949="","",IFERROR(INDEX('Cadastro Mestre'!$Q$5:$Q$504,MATCH(C949,'Cadastro Mestre'!$A$5:$A$504,0)),""))</f>
        <v/>
      </c>
      <c r="F949" s="21"/>
      <c r="G949" s="21"/>
      <c r="H949" s="21"/>
      <c r="I949" s="21"/>
    </row>
    <row r="950" customFormat="false" ht="15" hidden="false" customHeight="false" outlineLevel="0" collapsed="false">
      <c r="A950" s="25"/>
      <c r="B950" s="21"/>
      <c r="C950" s="21"/>
      <c r="D950" s="26" t="str">
        <f aca="false">IF(C950="","",IFERROR(INDEX('Cadastro Mestre'!$C$5:$C$504,MATCH(C950,'Cadastro Mestre'!$A$5:$A$504,0)),"código não encontrado"))</f>
        <v/>
      </c>
      <c r="E950" s="24" t="str">
        <f aca="false">IF(C950="","",IFERROR(INDEX('Cadastro Mestre'!$Q$5:$Q$504,MATCH(C950,'Cadastro Mestre'!$A$5:$A$504,0)),""))</f>
        <v/>
      </c>
      <c r="F950" s="21"/>
      <c r="G950" s="21"/>
      <c r="H950" s="21"/>
      <c r="I950" s="21"/>
    </row>
    <row r="951" customFormat="false" ht="15" hidden="false" customHeight="false" outlineLevel="0" collapsed="false">
      <c r="A951" s="25"/>
      <c r="B951" s="21"/>
      <c r="C951" s="21"/>
      <c r="D951" s="26" t="str">
        <f aca="false">IF(C951="","",IFERROR(INDEX('Cadastro Mestre'!$C$5:$C$504,MATCH(C951,'Cadastro Mestre'!$A$5:$A$504,0)),"código não encontrado"))</f>
        <v/>
      </c>
      <c r="E951" s="24" t="str">
        <f aca="false">IF(C951="","",IFERROR(INDEX('Cadastro Mestre'!$Q$5:$Q$504,MATCH(C951,'Cadastro Mestre'!$A$5:$A$504,0)),""))</f>
        <v/>
      </c>
      <c r="F951" s="21"/>
      <c r="G951" s="21"/>
      <c r="H951" s="21"/>
      <c r="I951" s="21"/>
    </row>
    <row r="952" customFormat="false" ht="15" hidden="false" customHeight="false" outlineLevel="0" collapsed="false">
      <c r="A952" s="25"/>
      <c r="B952" s="21"/>
      <c r="C952" s="21"/>
      <c r="D952" s="26" t="str">
        <f aca="false">IF(C952="","",IFERROR(INDEX('Cadastro Mestre'!$C$5:$C$504,MATCH(C952,'Cadastro Mestre'!$A$5:$A$504,0)),"código não encontrado"))</f>
        <v/>
      </c>
      <c r="E952" s="24" t="str">
        <f aca="false">IF(C952="","",IFERROR(INDEX('Cadastro Mestre'!$Q$5:$Q$504,MATCH(C952,'Cadastro Mestre'!$A$5:$A$504,0)),""))</f>
        <v/>
      </c>
      <c r="F952" s="21"/>
      <c r="G952" s="21"/>
      <c r="H952" s="21"/>
      <c r="I952" s="21"/>
    </row>
    <row r="953" customFormat="false" ht="15" hidden="false" customHeight="false" outlineLevel="0" collapsed="false">
      <c r="A953" s="25"/>
      <c r="B953" s="21"/>
      <c r="C953" s="21"/>
      <c r="D953" s="26" t="str">
        <f aca="false">IF(C953="","",IFERROR(INDEX('Cadastro Mestre'!$C$5:$C$504,MATCH(C953,'Cadastro Mestre'!$A$5:$A$504,0)),"código não encontrado"))</f>
        <v/>
      </c>
      <c r="E953" s="24" t="str">
        <f aca="false">IF(C953="","",IFERROR(INDEX('Cadastro Mestre'!$Q$5:$Q$504,MATCH(C953,'Cadastro Mestre'!$A$5:$A$504,0)),""))</f>
        <v/>
      </c>
      <c r="F953" s="21"/>
      <c r="G953" s="21"/>
      <c r="H953" s="21"/>
      <c r="I953" s="21"/>
    </row>
    <row r="954" customFormat="false" ht="15" hidden="false" customHeight="false" outlineLevel="0" collapsed="false">
      <c r="A954" s="25"/>
      <c r="B954" s="21"/>
      <c r="C954" s="21"/>
      <c r="D954" s="26" t="str">
        <f aca="false">IF(C954="","",IFERROR(INDEX('Cadastro Mestre'!$C$5:$C$504,MATCH(C954,'Cadastro Mestre'!$A$5:$A$504,0)),"código não encontrado"))</f>
        <v/>
      </c>
      <c r="E954" s="24" t="str">
        <f aca="false">IF(C954="","",IFERROR(INDEX('Cadastro Mestre'!$Q$5:$Q$504,MATCH(C954,'Cadastro Mestre'!$A$5:$A$504,0)),""))</f>
        <v/>
      </c>
      <c r="F954" s="21"/>
      <c r="G954" s="21"/>
      <c r="H954" s="21"/>
      <c r="I954" s="21"/>
    </row>
    <row r="955" customFormat="false" ht="15" hidden="false" customHeight="false" outlineLevel="0" collapsed="false">
      <c r="A955" s="25"/>
      <c r="B955" s="21"/>
      <c r="C955" s="21"/>
      <c r="D955" s="26" t="str">
        <f aca="false">IF(C955="","",IFERROR(INDEX('Cadastro Mestre'!$C$5:$C$504,MATCH(C955,'Cadastro Mestre'!$A$5:$A$504,0)),"código não encontrado"))</f>
        <v/>
      </c>
      <c r="E955" s="24" t="str">
        <f aca="false">IF(C955="","",IFERROR(INDEX('Cadastro Mestre'!$Q$5:$Q$504,MATCH(C955,'Cadastro Mestre'!$A$5:$A$504,0)),""))</f>
        <v/>
      </c>
      <c r="F955" s="21"/>
      <c r="G955" s="21"/>
      <c r="H955" s="21"/>
      <c r="I955" s="21"/>
    </row>
    <row r="956" customFormat="false" ht="15" hidden="false" customHeight="false" outlineLevel="0" collapsed="false">
      <c r="A956" s="25"/>
      <c r="B956" s="21"/>
      <c r="C956" s="21"/>
      <c r="D956" s="26" t="str">
        <f aca="false">IF(C956="","",IFERROR(INDEX('Cadastro Mestre'!$C$5:$C$504,MATCH(C956,'Cadastro Mestre'!$A$5:$A$504,0)),"código não encontrado"))</f>
        <v/>
      </c>
      <c r="E956" s="24" t="str">
        <f aca="false">IF(C956="","",IFERROR(INDEX('Cadastro Mestre'!$Q$5:$Q$504,MATCH(C956,'Cadastro Mestre'!$A$5:$A$504,0)),""))</f>
        <v/>
      </c>
      <c r="F956" s="21"/>
      <c r="G956" s="21"/>
      <c r="H956" s="21"/>
      <c r="I956" s="21"/>
    </row>
    <row r="957" customFormat="false" ht="15" hidden="false" customHeight="false" outlineLevel="0" collapsed="false">
      <c r="A957" s="25"/>
      <c r="B957" s="21"/>
      <c r="C957" s="21"/>
      <c r="D957" s="26" t="str">
        <f aca="false">IF(C957="","",IFERROR(INDEX('Cadastro Mestre'!$C$5:$C$504,MATCH(C957,'Cadastro Mestre'!$A$5:$A$504,0)),"código não encontrado"))</f>
        <v/>
      </c>
      <c r="E957" s="24" t="str">
        <f aca="false">IF(C957="","",IFERROR(INDEX('Cadastro Mestre'!$Q$5:$Q$504,MATCH(C957,'Cadastro Mestre'!$A$5:$A$504,0)),""))</f>
        <v/>
      </c>
      <c r="F957" s="21"/>
      <c r="G957" s="21"/>
      <c r="H957" s="21"/>
      <c r="I957" s="21"/>
    </row>
    <row r="958" customFormat="false" ht="15" hidden="false" customHeight="false" outlineLevel="0" collapsed="false">
      <c r="A958" s="25"/>
      <c r="B958" s="21"/>
      <c r="C958" s="21"/>
      <c r="D958" s="26" t="str">
        <f aca="false">IF(C958="","",IFERROR(INDEX('Cadastro Mestre'!$C$5:$C$504,MATCH(C958,'Cadastro Mestre'!$A$5:$A$504,0)),"código não encontrado"))</f>
        <v/>
      </c>
      <c r="E958" s="24" t="str">
        <f aca="false">IF(C958="","",IFERROR(INDEX('Cadastro Mestre'!$Q$5:$Q$504,MATCH(C958,'Cadastro Mestre'!$A$5:$A$504,0)),""))</f>
        <v/>
      </c>
      <c r="F958" s="21"/>
      <c r="G958" s="21"/>
      <c r="H958" s="21"/>
      <c r="I958" s="21"/>
    </row>
    <row r="959" customFormat="false" ht="15" hidden="false" customHeight="false" outlineLevel="0" collapsed="false">
      <c r="A959" s="25"/>
      <c r="B959" s="21"/>
      <c r="C959" s="21"/>
      <c r="D959" s="26" t="str">
        <f aca="false">IF(C959="","",IFERROR(INDEX('Cadastro Mestre'!$C$5:$C$504,MATCH(C959,'Cadastro Mestre'!$A$5:$A$504,0)),"código não encontrado"))</f>
        <v/>
      </c>
      <c r="E959" s="24" t="str">
        <f aca="false">IF(C959="","",IFERROR(INDEX('Cadastro Mestre'!$Q$5:$Q$504,MATCH(C959,'Cadastro Mestre'!$A$5:$A$504,0)),""))</f>
        <v/>
      </c>
      <c r="F959" s="21"/>
      <c r="G959" s="21"/>
      <c r="H959" s="21"/>
      <c r="I959" s="21"/>
    </row>
    <row r="960" customFormat="false" ht="15" hidden="false" customHeight="false" outlineLevel="0" collapsed="false">
      <c r="A960" s="25"/>
      <c r="B960" s="21"/>
      <c r="C960" s="21"/>
      <c r="D960" s="26" t="str">
        <f aca="false">IF(C960="","",IFERROR(INDEX('Cadastro Mestre'!$C$5:$C$504,MATCH(C960,'Cadastro Mestre'!$A$5:$A$504,0)),"código não encontrado"))</f>
        <v/>
      </c>
      <c r="E960" s="24" t="str">
        <f aca="false">IF(C960="","",IFERROR(INDEX('Cadastro Mestre'!$Q$5:$Q$504,MATCH(C960,'Cadastro Mestre'!$A$5:$A$504,0)),""))</f>
        <v/>
      </c>
      <c r="F960" s="21"/>
      <c r="G960" s="21"/>
      <c r="H960" s="21"/>
      <c r="I960" s="21"/>
    </row>
    <row r="961" customFormat="false" ht="15" hidden="false" customHeight="false" outlineLevel="0" collapsed="false">
      <c r="A961" s="25"/>
      <c r="B961" s="21"/>
      <c r="C961" s="21"/>
      <c r="D961" s="26" t="str">
        <f aca="false">IF(C961="","",IFERROR(INDEX('Cadastro Mestre'!$C$5:$C$504,MATCH(C961,'Cadastro Mestre'!$A$5:$A$504,0)),"código não encontrado"))</f>
        <v/>
      </c>
      <c r="E961" s="24" t="str">
        <f aca="false">IF(C961="","",IFERROR(INDEX('Cadastro Mestre'!$Q$5:$Q$504,MATCH(C961,'Cadastro Mestre'!$A$5:$A$504,0)),""))</f>
        <v/>
      </c>
      <c r="F961" s="21"/>
      <c r="G961" s="21"/>
      <c r="H961" s="21"/>
      <c r="I961" s="21"/>
    </row>
    <row r="962" customFormat="false" ht="15" hidden="false" customHeight="false" outlineLevel="0" collapsed="false">
      <c r="A962" s="25"/>
      <c r="B962" s="21"/>
      <c r="C962" s="21"/>
      <c r="D962" s="26" t="str">
        <f aca="false">IF(C962="","",IFERROR(INDEX('Cadastro Mestre'!$C$5:$C$504,MATCH(C962,'Cadastro Mestre'!$A$5:$A$504,0)),"código não encontrado"))</f>
        <v/>
      </c>
      <c r="E962" s="24" t="str">
        <f aca="false">IF(C962="","",IFERROR(INDEX('Cadastro Mestre'!$Q$5:$Q$504,MATCH(C962,'Cadastro Mestre'!$A$5:$A$504,0)),""))</f>
        <v/>
      </c>
      <c r="F962" s="21"/>
      <c r="G962" s="21"/>
      <c r="H962" s="21"/>
      <c r="I962" s="21"/>
    </row>
    <row r="963" customFormat="false" ht="15" hidden="false" customHeight="false" outlineLevel="0" collapsed="false">
      <c r="A963" s="25"/>
      <c r="B963" s="21"/>
      <c r="C963" s="21"/>
      <c r="D963" s="26" t="str">
        <f aca="false">IF(C963="","",IFERROR(INDEX('Cadastro Mestre'!$C$5:$C$504,MATCH(C963,'Cadastro Mestre'!$A$5:$A$504,0)),"código não encontrado"))</f>
        <v/>
      </c>
      <c r="E963" s="24" t="str">
        <f aca="false">IF(C963="","",IFERROR(INDEX('Cadastro Mestre'!$Q$5:$Q$504,MATCH(C963,'Cadastro Mestre'!$A$5:$A$504,0)),""))</f>
        <v/>
      </c>
      <c r="F963" s="21"/>
      <c r="G963" s="21"/>
      <c r="H963" s="21"/>
      <c r="I963" s="21"/>
    </row>
    <row r="964" customFormat="false" ht="15" hidden="false" customHeight="false" outlineLevel="0" collapsed="false">
      <c r="A964" s="25"/>
      <c r="B964" s="21"/>
      <c r="C964" s="21"/>
      <c r="D964" s="26" t="str">
        <f aca="false">IF(C964="","",IFERROR(INDEX('Cadastro Mestre'!$C$5:$C$504,MATCH(C964,'Cadastro Mestre'!$A$5:$A$504,0)),"código não encontrado"))</f>
        <v/>
      </c>
      <c r="E964" s="24" t="str">
        <f aca="false">IF(C964="","",IFERROR(INDEX('Cadastro Mestre'!$Q$5:$Q$504,MATCH(C964,'Cadastro Mestre'!$A$5:$A$504,0)),""))</f>
        <v/>
      </c>
      <c r="F964" s="21"/>
      <c r="G964" s="21"/>
      <c r="H964" s="21"/>
      <c r="I964" s="21"/>
    </row>
    <row r="965" customFormat="false" ht="15" hidden="false" customHeight="false" outlineLevel="0" collapsed="false">
      <c r="A965" s="25"/>
      <c r="B965" s="21"/>
      <c r="C965" s="21"/>
      <c r="D965" s="26" t="str">
        <f aca="false">IF(C965="","",IFERROR(INDEX('Cadastro Mestre'!$C$5:$C$504,MATCH(C965,'Cadastro Mestre'!$A$5:$A$504,0)),"código não encontrado"))</f>
        <v/>
      </c>
      <c r="E965" s="24" t="str">
        <f aca="false">IF(C965="","",IFERROR(INDEX('Cadastro Mestre'!$Q$5:$Q$504,MATCH(C965,'Cadastro Mestre'!$A$5:$A$504,0)),""))</f>
        <v/>
      </c>
      <c r="F965" s="21"/>
      <c r="G965" s="21"/>
      <c r="H965" s="21"/>
      <c r="I965" s="21"/>
    </row>
    <row r="966" customFormat="false" ht="15" hidden="false" customHeight="false" outlineLevel="0" collapsed="false">
      <c r="A966" s="25"/>
      <c r="B966" s="21"/>
      <c r="C966" s="21"/>
      <c r="D966" s="26" t="str">
        <f aca="false">IF(C966="","",IFERROR(INDEX('Cadastro Mestre'!$C$5:$C$504,MATCH(C966,'Cadastro Mestre'!$A$5:$A$504,0)),"código não encontrado"))</f>
        <v/>
      </c>
      <c r="E966" s="24" t="str">
        <f aca="false">IF(C966="","",IFERROR(INDEX('Cadastro Mestre'!$Q$5:$Q$504,MATCH(C966,'Cadastro Mestre'!$A$5:$A$504,0)),""))</f>
        <v/>
      </c>
      <c r="F966" s="21"/>
      <c r="G966" s="21"/>
      <c r="H966" s="21"/>
      <c r="I966" s="21"/>
    </row>
    <row r="967" customFormat="false" ht="15" hidden="false" customHeight="false" outlineLevel="0" collapsed="false">
      <c r="A967" s="25"/>
      <c r="B967" s="21"/>
      <c r="C967" s="21"/>
      <c r="D967" s="26" t="str">
        <f aca="false">IF(C967="","",IFERROR(INDEX('Cadastro Mestre'!$C$5:$C$504,MATCH(C967,'Cadastro Mestre'!$A$5:$A$504,0)),"código não encontrado"))</f>
        <v/>
      </c>
      <c r="E967" s="24" t="str">
        <f aca="false">IF(C967="","",IFERROR(INDEX('Cadastro Mestre'!$Q$5:$Q$504,MATCH(C967,'Cadastro Mestre'!$A$5:$A$504,0)),""))</f>
        <v/>
      </c>
      <c r="F967" s="21"/>
      <c r="G967" s="21"/>
      <c r="H967" s="21"/>
      <c r="I967" s="21"/>
    </row>
    <row r="968" customFormat="false" ht="15" hidden="false" customHeight="false" outlineLevel="0" collapsed="false">
      <c r="A968" s="25"/>
      <c r="B968" s="21"/>
      <c r="C968" s="21"/>
      <c r="D968" s="26" t="str">
        <f aca="false">IF(C968="","",IFERROR(INDEX('Cadastro Mestre'!$C$5:$C$504,MATCH(C968,'Cadastro Mestre'!$A$5:$A$504,0)),"código não encontrado"))</f>
        <v/>
      </c>
      <c r="E968" s="24" t="str">
        <f aca="false">IF(C968="","",IFERROR(INDEX('Cadastro Mestre'!$Q$5:$Q$504,MATCH(C968,'Cadastro Mestre'!$A$5:$A$504,0)),""))</f>
        <v/>
      </c>
      <c r="F968" s="21"/>
      <c r="G968" s="21"/>
      <c r="H968" s="21"/>
      <c r="I968" s="21"/>
    </row>
    <row r="969" customFormat="false" ht="15" hidden="false" customHeight="false" outlineLevel="0" collapsed="false">
      <c r="A969" s="25"/>
      <c r="B969" s="21"/>
      <c r="C969" s="21"/>
      <c r="D969" s="26" t="str">
        <f aca="false">IF(C969="","",IFERROR(INDEX('Cadastro Mestre'!$C$5:$C$504,MATCH(C969,'Cadastro Mestre'!$A$5:$A$504,0)),"código não encontrado"))</f>
        <v/>
      </c>
      <c r="E969" s="24" t="str">
        <f aca="false">IF(C969="","",IFERROR(INDEX('Cadastro Mestre'!$Q$5:$Q$504,MATCH(C969,'Cadastro Mestre'!$A$5:$A$504,0)),""))</f>
        <v/>
      </c>
      <c r="F969" s="21"/>
      <c r="G969" s="21"/>
      <c r="H969" s="21"/>
      <c r="I969" s="21"/>
    </row>
    <row r="970" customFormat="false" ht="15" hidden="false" customHeight="false" outlineLevel="0" collapsed="false">
      <c r="A970" s="25"/>
      <c r="B970" s="21"/>
      <c r="C970" s="21"/>
      <c r="D970" s="26" t="str">
        <f aca="false">IF(C970="","",IFERROR(INDEX('Cadastro Mestre'!$C$5:$C$504,MATCH(C970,'Cadastro Mestre'!$A$5:$A$504,0)),"código não encontrado"))</f>
        <v/>
      </c>
      <c r="E970" s="24" t="str">
        <f aca="false">IF(C970="","",IFERROR(INDEX('Cadastro Mestre'!$Q$5:$Q$504,MATCH(C970,'Cadastro Mestre'!$A$5:$A$504,0)),""))</f>
        <v/>
      </c>
      <c r="F970" s="21"/>
      <c r="G970" s="21"/>
      <c r="H970" s="21"/>
      <c r="I970" s="21"/>
    </row>
    <row r="971" customFormat="false" ht="15" hidden="false" customHeight="false" outlineLevel="0" collapsed="false">
      <c r="A971" s="25"/>
      <c r="B971" s="21"/>
      <c r="C971" s="21"/>
      <c r="D971" s="26" t="str">
        <f aca="false">IF(C971="","",IFERROR(INDEX('Cadastro Mestre'!$C$5:$C$504,MATCH(C971,'Cadastro Mestre'!$A$5:$A$504,0)),"código não encontrado"))</f>
        <v/>
      </c>
      <c r="E971" s="24" t="str">
        <f aca="false">IF(C971="","",IFERROR(INDEX('Cadastro Mestre'!$Q$5:$Q$504,MATCH(C971,'Cadastro Mestre'!$A$5:$A$504,0)),""))</f>
        <v/>
      </c>
      <c r="F971" s="21"/>
      <c r="G971" s="21"/>
      <c r="H971" s="21"/>
      <c r="I971" s="21"/>
    </row>
    <row r="972" customFormat="false" ht="15" hidden="false" customHeight="false" outlineLevel="0" collapsed="false">
      <c r="A972" s="25"/>
      <c r="B972" s="21"/>
      <c r="C972" s="21"/>
      <c r="D972" s="26" t="str">
        <f aca="false">IF(C972="","",IFERROR(INDEX('Cadastro Mestre'!$C$5:$C$504,MATCH(C972,'Cadastro Mestre'!$A$5:$A$504,0)),"código não encontrado"))</f>
        <v/>
      </c>
      <c r="E972" s="24" t="str">
        <f aca="false">IF(C972="","",IFERROR(INDEX('Cadastro Mestre'!$Q$5:$Q$504,MATCH(C972,'Cadastro Mestre'!$A$5:$A$504,0)),""))</f>
        <v/>
      </c>
      <c r="F972" s="21"/>
      <c r="G972" s="21"/>
      <c r="H972" s="21"/>
      <c r="I972" s="21"/>
    </row>
    <row r="973" customFormat="false" ht="15" hidden="false" customHeight="false" outlineLevel="0" collapsed="false">
      <c r="A973" s="25"/>
      <c r="B973" s="21"/>
      <c r="C973" s="21"/>
      <c r="D973" s="26" t="str">
        <f aca="false">IF(C973="","",IFERROR(INDEX('Cadastro Mestre'!$C$5:$C$504,MATCH(C973,'Cadastro Mestre'!$A$5:$A$504,0)),"código não encontrado"))</f>
        <v/>
      </c>
      <c r="E973" s="24" t="str">
        <f aca="false">IF(C973="","",IFERROR(INDEX('Cadastro Mestre'!$Q$5:$Q$504,MATCH(C973,'Cadastro Mestre'!$A$5:$A$504,0)),""))</f>
        <v/>
      </c>
      <c r="F973" s="21"/>
      <c r="G973" s="21"/>
      <c r="H973" s="21"/>
      <c r="I973" s="21"/>
    </row>
    <row r="974" customFormat="false" ht="15" hidden="false" customHeight="false" outlineLevel="0" collapsed="false">
      <c r="A974" s="25"/>
      <c r="B974" s="21"/>
      <c r="C974" s="21"/>
      <c r="D974" s="26" t="str">
        <f aca="false">IF(C974="","",IFERROR(INDEX('Cadastro Mestre'!$C$5:$C$504,MATCH(C974,'Cadastro Mestre'!$A$5:$A$504,0)),"código não encontrado"))</f>
        <v/>
      </c>
      <c r="E974" s="24" t="str">
        <f aca="false">IF(C974="","",IFERROR(INDEX('Cadastro Mestre'!$Q$5:$Q$504,MATCH(C974,'Cadastro Mestre'!$A$5:$A$504,0)),""))</f>
        <v/>
      </c>
      <c r="F974" s="21"/>
      <c r="G974" s="21"/>
      <c r="H974" s="21"/>
      <c r="I974" s="21"/>
    </row>
    <row r="975" customFormat="false" ht="15" hidden="false" customHeight="false" outlineLevel="0" collapsed="false">
      <c r="A975" s="25"/>
      <c r="B975" s="21"/>
      <c r="C975" s="21"/>
      <c r="D975" s="26" t="str">
        <f aca="false">IF(C975="","",IFERROR(INDEX('Cadastro Mestre'!$C$5:$C$504,MATCH(C975,'Cadastro Mestre'!$A$5:$A$504,0)),"código não encontrado"))</f>
        <v/>
      </c>
      <c r="E975" s="24" t="str">
        <f aca="false">IF(C975="","",IFERROR(INDEX('Cadastro Mestre'!$Q$5:$Q$504,MATCH(C975,'Cadastro Mestre'!$A$5:$A$504,0)),""))</f>
        <v/>
      </c>
      <c r="F975" s="21"/>
      <c r="G975" s="21"/>
      <c r="H975" s="21"/>
      <c r="I975" s="21"/>
    </row>
    <row r="976" customFormat="false" ht="15" hidden="false" customHeight="false" outlineLevel="0" collapsed="false">
      <c r="A976" s="25"/>
      <c r="B976" s="21"/>
      <c r="C976" s="21"/>
      <c r="D976" s="26" t="str">
        <f aca="false">IF(C976="","",IFERROR(INDEX('Cadastro Mestre'!$C$5:$C$504,MATCH(C976,'Cadastro Mestre'!$A$5:$A$504,0)),"código não encontrado"))</f>
        <v/>
      </c>
      <c r="E976" s="24" t="str">
        <f aca="false">IF(C976="","",IFERROR(INDEX('Cadastro Mestre'!$Q$5:$Q$504,MATCH(C976,'Cadastro Mestre'!$A$5:$A$504,0)),""))</f>
        <v/>
      </c>
      <c r="F976" s="21"/>
      <c r="G976" s="21"/>
      <c r="H976" s="21"/>
      <c r="I976" s="21"/>
    </row>
    <row r="977" customFormat="false" ht="15" hidden="false" customHeight="false" outlineLevel="0" collapsed="false">
      <c r="A977" s="25"/>
      <c r="B977" s="21"/>
      <c r="C977" s="21"/>
      <c r="D977" s="26" t="str">
        <f aca="false">IF(C977="","",IFERROR(INDEX('Cadastro Mestre'!$C$5:$C$504,MATCH(C977,'Cadastro Mestre'!$A$5:$A$504,0)),"código não encontrado"))</f>
        <v/>
      </c>
      <c r="E977" s="24" t="str">
        <f aca="false">IF(C977="","",IFERROR(INDEX('Cadastro Mestre'!$Q$5:$Q$504,MATCH(C977,'Cadastro Mestre'!$A$5:$A$504,0)),""))</f>
        <v/>
      </c>
      <c r="F977" s="21"/>
      <c r="G977" s="21"/>
      <c r="H977" s="21"/>
      <c r="I977" s="21"/>
    </row>
    <row r="978" customFormat="false" ht="15" hidden="false" customHeight="false" outlineLevel="0" collapsed="false">
      <c r="A978" s="25"/>
      <c r="B978" s="21"/>
      <c r="C978" s="21"/>
      <c r="D978" s="26" t="str">
        <f aca="false">IF(C978="","",IFERROR(INDEX('Cadastro Mestre'!$C$5:$C$504,MATCH(C978,'Cadastro Mestre'!$A$5:$A$504,0)),"código não encontrado"))</f>
        <v/>
      </c>
      <c r="E978" s="24" t="str">
        <f aca="false">IF(C978="","",IFERROR(INDEX('Cadastro Mestre'!$Q$5:$Q$504,MATCH(C978,'Cadastro Mestre'!$A$5:$A$504,0)),""))</f>
        <v/>
      </c>
      <c r="F978" s="21"/>
      <c r="G978" s="21"/>
      <c r="H978" s="21"/>
      <c r="I978" s="21"/>
    </row>
    <row r="979" customFormat="false" ht="15" hidden="false" customHeight="false" outlineLevel="0" collapsed="false">
      <c r="A979" s="25"/>
      <c r="B979" s="21"/>
      <c r="C979" s="21"/>
      <c r="D979" s="26" t="str">
        <f aca="false">IF(C979="","",IFERROR(INDEX('Cadastro Mestre'!$C$5:$C$504,MATCH(C979,'Cadastro Mestre'!$A$5:$A$504,0)),"código não encontrado"))</f>
        <v/>
      </c>
      <c r="E979" s="24" t="str">
        <f aca="false">IF(C979="","",IFERROR(INDEX('Cadastro Mestre'!$Q$5:$Q$504,MATCH(C979,'Cadastro Mestre'!$A$5:$A$504,0)),""))</f>
        <v/>
      </c>
      <c r="F979" s="21"/>
      <c r="G979" s="21"/>
      <c r="H979" s="21"/>
      <c r="I979" s="21"/>
    </row>
    <row r="980" customFormat="false" ht="15" hidden="false" customHeight="false" outlineLevel="0" collapsed="false">
      <c r="A980" s="25"/>
      <c r="B980" s="21"/>
      <c r="C980" s="21"/>
      <c r="D980" s="26" t="str">
        <f aca="false">IF(C980="","",IFERROR(INDEX('Cadastro Mestre'!$C$5:$C$504,MATCH(C980,'Cadastro Mestre'!$A$5:$A$504,0)),"código não encontrado"))</f>
        <v/>
      </c>
      <c r="E980" s="24" t="str">
        <f aca="false">IF(C980="","",IFERROR(INDEX('Cadastro Mestre'!$Q$5:$Q$504,MATCH(C980,'Cadastro Mestre'!$A$5:$A$504,0)),""))</f>
        <v/>
      </c>
      <c r="F980" s="21"/>
      <c r="G980" s="21"/>
      <c r="H980" s="21"/>
      <c r="I980" s="21"/>
    </row>
    <row r="981" customFormat="false" ht="15" hidden="false" customHeight="false" outlineLevel="0" collapsed="false">
      <c r="A981" s="25"/>
      <c r="B981" s="21"/>
      <c r="C981" s="21"/>
      <c r="D981" s="26" t="str">
        <f aca="false">IF(C981="","",IFERROR(INDEX('Cadastro Mestre'!$C$5:$C$504,MATCH(C981,'Cadastro Mestre'!$A$5:$A$504,0)),"código não encontrado"))</f>
        <v/>
      </c>
      <c r="E981" s="24" t="str">
        <f aca="false">IF(C981="","",IFERROR(INDEX('Cadastro Mestre'!$Q$5:$Q$504,MATCH(C981,'Cadastro Mestre'!$A$5:$A$504,0)),""))</f>
        <v/>
      </c>
      <c r="F981" s="21"/>
      <c r="G981" s="21"/>
      <c r="H981" s="21"/>
      <c r="I981" s="21"/>
    </row>
    <row r="982" customFormat="false" ht="15" hidden="false" customHeight="false" outlineLevel="0" collapsed="false">
      <c r="A982" s="25"/>
      <c r="B982" s="21"/>
      <c r="C982" s="21"/>
      <c r="D982" s="26" t="str">
        <f aca="false">IF(C982="","",IFERROR(INDEX('Cadastro Mestre'!$C$5:$C$504,MATCH(C982,'Cadastro Mestre'!$A$5:$A$504,0)),"código não encontrado"))</f>
        <v/>
      </c>
      <c r="E982" s="24" t="str">
        <f aca="false">IF(C982="","",IFERROR(INDEX('Cadastro Mestre'!$Q$5:$Q$504,MATCH(C982,'Cadastro Mestre'!$A$5:$A$504,0)),""))</f>
        <v/>
      </c>
      <c r="F982" s="21"/>
      <c r="G982" s="21"/>
      <c r="H982" s="21"/>
      <c r="I982" s="21"/>
    </row>
    <row r="983" customFormat="false" ht="15" hidden="false" customHeight="false" outlineLevel="0" collapsed="false">
      <c r="A983" s="25"/>
      <c r="B983" s="21"/>
      <c r="C983" s="21"/>
      <c r="D983" s="26" t="str">
        <f aca="false">IF(C983="","",IFERROR(INDEX('Cadastro Mestre'!$C$5:$C$504,MATCH(C983,'Cadastro Mestre'!$A$5:$A$504,0)),"código não encontrado"))</f>
        <v/>
      </c>
      <c r="E983" s="24" t="str">
        <f aca="false">IF(C983="","",IFERROR(INDEX('Cadastro Mestre'!$Q$5:$Q$504,MATCH(C983,'Cadastro Mestre'!$A$5:$A$504,0)),""))</f>
        <v/>
      </c>
      <c r="F983" s="21"/>
      <c r="G983" s="21"/>
      <c r="H983" s="21"/>
      <c r="I983" s="21"/>
    </row>
    <row r="984" customFormat="false" ht="15" hidden="false" customHeight="false" outlineLevel="0" collapsed="false">
      <c r="A984" s="25"/>
      <c r="B984" s="21"/>
      <c r="C984" s="21"/>
      <c r="D984" s="26" t="str">
        <f aca="false">IF(C984="","",IFERROR(INDEX('Cadastro Mestre'!$C$5:$C$504,MATCH(C984,'Cadastro Mestre'!$A$5:$A$504,0)),"código não encontrado"))</f>
        <v/>
      </c>
      <c r="E984" s="24" t="str">
        <f aca="false">IF(C984="","",IFERROR(INDEX('Cadastro Mestre'!$Q$5:$Q$504,MATCH(C984,'Cadastro Mestre'!$A$5:$A$504,0)),""))</f>
        <v/>
      </c>
      <c r="F984" s="21"/>
      <c r="G984" s="21"/>
      <c r="H984" s="21"/>
      <c r="I984" s="21"/>
    </row>
    <row r="985" customFormat="false" ht="15" hidden="false" customHeight="false" outlineLevel="0" collapsed="false">
      <c r="A985" s="25"/>
      <c r="B985" s="21"/>
      <c r="C985" s="21"/>
      <c r="D985" s="26" t="str">
        <f aca="false">IF(C985="","",IFERROR(INDEX('Cadastro Mestre'!$C$5:$C$504,MATCH(C985,'Cadastro Mestre'!$A$5:$A$504,0)),"código não encontrado"))</f>
        <v/>
      </c>
      <c r="E985" s="24" t="str">
        <f aca="false">IF(C985="","",IFERROR(INDEX('Cadastro Mestre'!$Q$5:$Q$504,MATCH(C985,'Cadastro Mestre'!$A$5:$A$504,0)),""))</f>
        <v/>
      </c>
      <c r="F985" s="21"/>
      <c r="G985" s="21"/>
      <c r="H985" s="21"/>
      <c r="I985" s="21"/>
    </row>
    <row r="986" customFormat="false" ht="15" hidden="false" customHeight="false" outlineLevel="0" collapsed="false">
      <c r="A986" s="25"/>
      <c r="B986" s="21"/>
      <c r="C986" s="21"/>
      <c r="D986" s="26" t="str">
        <f aca="false">IF(C986="","",IFERROR(INDEX('Cadastro Mestre'!$C$5:$C$504,MATCH(C986,'Cadastro Mestre'!$A$5:$A$504,0)),"código não encontrado"))</f>
        <v/>
      </c>
      <c r="E986" s="24" t="str">
        <f aca="false">IF(C986="","",IFERROR(INDEX('Cadastro Mestre'!$Q$5:$Q$504,MATCH(C986,'Cadastro Mestre'!$A$5:$A$504,0)),""))</f>
        <v/>
      </c>
      <c r="F986" s="21"/>
      <c r="G986" s="21"/>
      <c r="H986" s="21"/>
      <c r="I986" s="21"/>
    </row>
    <row r="987" customFormat="false" ht="15" hidden="false" customHeight="false" outlineLevel="0" collapsed="false">
      <c r="A987" s="25"/>
      <c r="B987" s="21"/>
      <c r="C987" s="21"/>
      <c r="D987" s="26" t="str">
        <f aca="false">IF(C987="","",IFERROR(INDEX('Cadastro Mestre'!$C$5:$C$504,MATCH(C987,'Cadastro Mestre'!$A$5:$A$504,0)),"código não encontrado"))</f>
        <v/>
      </c>
      <c r="E987" s="24" t="str">
        <f aca="false">IF(C987="","",IFERROR(INDEX('Cadastro Mestre'!$Q$5:$Q$504,MATCH(C987,'Cadastro Mestre'!$A$5:$A$504,0)),""))</f>
        <v/>
      </c>
      <c r="F987" s="21"/>
      <c r="G987" s="21"/>
      <c r="H987" s="21"/>
      <c r="I987" s="21"/>
    </row>
    <row r="988" customFormat="false" ht="15" hidden="false" customHeight="false" outlineLevel="0" collapsed="false">
      <c r="A988" s="25"/>
      <c r="B988" s="21"/>
      <c r="C988" s="21"/>
      <c r="D988" s="26" t="str">
        <f aca="false">IF(C988="","",IFERROR(INDEX('Cadastro Mestre'!$C$5:$C$504,MATCH(C988,'Cadastro Mestre'!$A$5:$A$504,0)),"código não encontrado"))</f>
        <v/>
      </c>
      <c r="E988" s="24" t="str">
        <f aca="false">IF(C988="","",IFERROR(INDEX('Cadastro Mestre'!$Q$5:$Q$504,MATCH(C988,'Cadastro Mestre'!$A$5:$A$504,0)),""))</f>
        <v/>
      </c>
      <c r="F988" s="21"/>
      <c r="G988" s="21"/>
      <c r="H988" s="21"/>
      <c r="I988" s="21"/>
    </row>
    <row r="989" customFormat="false" ht="15" hidden="false" customHeight="false" outlineLevel="0" collapsed="false">
      <c r="A989" s="25"/>
      <c r="B989" s="21"/>
      <c r="C989" s="21"/>
      <c r="D989" s="26" t="str">
        <f aca="false">IF(C989="","",IFERROR(INDEX('Cadastro Mestre'!$C$5:$C$504,MATCH(C989,'Cadastro Mestre'!$A$5:$A$504,0)),"código não encontrado"))</f>
        <v/>
      </c>
      <c r="E989" s="24" t="str">
        <f aca="false">IF(C989="","",IFERROR(INDEX('Cadastro Mestre'!$Q$5:$Q$504,MATCH(C989,'Cadastro Mestre'!$A$5:$A$504,0)),""))</f>
        <v/>
      </c>
      <c r="F989" s="21"/>
      <c r="G989" s="21"/>
      <c r="H989" s="21"/>
      <c r="I989" s="21"/>
    </row>
    <row r="990" customFormat="false" ht="15" hidden="false" customHeight="false" outlineLevel="0" collapsed="false">
      <c r="A990" s="25"/>
      <c r="B990" s="21"/>
      <c r="C990" s="21"/>
      <c r="D990" s="26" t="str">
        <f aca="false">IF(C990="","",IFERROR(INDEX('Cadastro Mestre'!$C$5:$C$504,MATCH(C990,'Cadastro Mestre'!$A$5:$A$504,0)),"código não encontrado"))</f>
        <v/>
      </c>
      <c r="E990" s="24" t="str">
        <f aca="false">IF(C990="","",IFERROR(INDEX('Cadastro Mestre'!$Q$5:$Q$504,MATCH(C990,'Cadastro Mestre'!$A$5:$A$504,0)),""))</f>
        <v/>
      </c>
      <c r="F990" s="21"/>
      <c r="G990" s="21"/>
      <c r="H990" s="21"/>
      <c r="I990" s="21"/>
    </row>
    <row r="991" customFormat="false" ht="15" hidden="false" customHeight="false" outlineLevel="0" collapsed="false">
      <c r="A991" s="25"/>
      <c r="B991" s="21"/>
      <c r="C991" s="21"/>
      <c r="D991" s="26" t="str">
        <f aca="false">IF(C991="","",IFERROR(INDEX('Cadastro Mestre'!$C$5:$C$504,MATCH(C991,'Cadastro Mestre'!$A$5:$A$504,0)),"código não encontrado"))</f>
        <v/>
      </c>
      <c r="E991" s="24" t="str">
        <f aca="false">IF(C991="","",IFERROR(INDEX('Cadastro Mestre'!$Q$5:$Q$504,MATCH(C991,'Cadastro Mestre'!$A$5:$A$504,0)),""))</f>
        <v/>
      </c>
      <c r="F991" s="21"/>
      <c r="G991" s="21"/>
      <c r="H991" s="21"/>
      <c r="I991" s="21"/>
    </row>
    <row r="992" customFormat="false" ht="15" hidden="false" customHeight="false" outlineLevel="0" collapsed="false">
      <c r="A992" s="25"/>
      <c r="B992" s="21"/>
      <c r="C992" s="21"/>
      <c r="D992" s="26" t="str">
        <f aca="false">IF(C992="","",IFERROR(INDEX('Cadastro Mestre'!$C$5:$C$504,MATCH(C992,'Cadastro Mestre'!$A$5:$A$504,0)),"código não encontrado"))</f>
        <v/>
      </c>
      <c r="E992" s="24" t="str">
        <f aca="false">IF(C992="","",IFERROR(INDEX('Cadastro Mestre'!$Q$5:$Q$504,MATCH(C992,'Cadastro Mestre'!$A$5:$A$504,0)),""))</f>
        <v/>
      </c>
      <c r="F992" s="21"/>
      <c r="G992" s="21"/>
      <c r="H992" s="21"/>
      <c r="I992" s="21"/>
    </row>
    <row r="993" customFormat="false" ht="15" hidden="false" customHeight="false" outlineLevel="0" collapsed="false">
      <c r="A993" s="25"/>
      <c r="B993" s="21"/>
      <c r="C993" s="21"/>
      <c r="D993" s="26" t="str">
        <f aca="false">IF(C993="","",IFERROR(INDEX('Cadastro Mestre'!$C$5:$C$504,MATCH(C993,'Cadastro Mestre'!$A$5:$A$504,0)),"código não encontrado"))</f>
        <v/>
      </c>
      <c r="E993" s="24" t="str">
        <f aca="false">IF(C993="","",IFERROR(INDEX('Cadastro Mestre'!$Q$5:$Q$504,MATCH(C993,'Cadastro Mestre'!$A$5:$A$504,0)),""))</f>
        <v/>
      </c>
      <c r="F993" s="21"/>
      <c r="G993" s="21"/>
      <c r="H993" s="21"/>
      <c r="I993" s="21"/>
    </row>
    <row r="994" customFormat="false" ht="15" hidden="false" customHeight="false" outlineLevel="0" collapsed="false">
      <c r="A994" s="25"/>
      <c r="B994" s="21"/>
      <c r="C994" s="21"/>
      <c r="D994" s="26" t="str">
        <f aca="false">IF(C994="","",IFERROR(INDEX('Cadastro Mestre'!$C$5:$C$504,MATCH(C994,'Cadastro Mestre'!$A$5:$A$504,0)),"código não encontrado"))</f>
        <v/>
      </c>
      <c r="E994" s="24" t="str">
        <f aca="false">IF(C994="","",IFERROR(INDEX('Cadastro Mestre'!$Q$5:$Q$504,MATCH(C994,'Cadastro Mestre'!$A$5:$A$504,0)),""))</f>
        <v/>
      </c>
      <c r="F994" s="21"/>
      <c r="G994" s="21"/>
      <c r="H994" s="21"/>
      <c r="I994" s="21"/>
    </row>
    <row r="995" customFormat="false" ht="15" hidden="false" customHeight="false" outlineLevel="0" collapsed="false">
      <c r="A995" s="25"/>
      <c r="B995" s="21"/>
      <c r="C995" s="21"/>
      <c r="D995" s="26" t="str">
        <f aca="false">IF(C995="","",IFERROR(INDEX('Cadastro Mestre'!$C$5:$C$504,MATCH(C995,'Cadastro Mestre'!$A$5:$A$504,0)),"código não encontrado"))</f>
        <v/>
      </c>
      <c r="E995" s="24" t="str">
        <f aca="false">IF(C995="","",IFERROR(INDEX('Cadastro Mestre'!$Q$5:$Q$504,MATCH(C995,'Cadastro Mestre'!$A$5:$A$504,0)),""))</f>
        <v/>
      </c>
      <c r="F995" s="21"/>
      <c r="G995" s="21"/>
      <c r="H995" s="21"/>
      <c r="I995" s="21"/>
    </row>
    <row r="996" customFormat="false" ht="15" hidden="false" customHeight="false" outlineLevel="0" collapsed="false">
      <c r="A996" s="25"/>
      <c r="B996" s="21"/>
      <c r="C996" s="21"/>
      <c r="D996" s="26" t="str">
        <f aca="false">IF(C996="","",IFERROR(INDEX('Cadastro Mestre'!$C$5:$C$504,MATCH(C996,'Cadastro Mestre'!$A$5:$A$504,0)),"código não encontrado"))</f>
        <v/>
      </c>
      <c r="E996" s="24" t="str">
        <f aca="false">IF(C996="","",IFERROR(INDEX('Cadastro Mestre'!$Q$5:$Q$504,MATCH(C996,'Cadastro Mestre'!$A$5:$A$504,0)),""))</f>
        <v/>
      </c>
      <c r="F996" s="21"/>
      <c r="G996" s="21"/>
      <c r="H996" s="21"/>
      <c r="I996" s="21"/>
    </row>
    <row r="997" customFormat="false" ht="15" hidden="false" customHeight="false" outlineLevel="0" collapsed="false">
      <c r="A997" s="25"/>
      <c r="B997" s="21"/>
      <c r="C997" s="21"/>
      <c r="D997" s="26" t="str">
        <f aca="false">IF(C997="","",IFERROR(INDEX('Cadastro Mestre'!$C$5:$C$504,MATCH(C997,'Cadastro Mestre'!$A$5:$A$504,0)),"código não encontrado"))</f>
        <v/>
      </c>
      <c r="E997" s="24" t="str">
        <f aca="false">IF(C997="","",IFERROR(INDEX('Cadastro Mestre'!$Q$5:$Q$504,MATCH(C997,'Cadastro Mestre'!$A$5:$A$504,0)),""))</f>
        <v/>
      </c>
      <c r="F997" s="21"/>
      <c r="G997" s="21"/>
      <c r="H997" s="21"/>
      <c r="I997" s="21"/>
    </row>
    <row r="998" customFormat="false" ht="15" hidden="false" customHeight="false" outlineLevel="0" collapsed="false">
      <c r="A998" s="25"/>
      <c r="B998" s="21"/>
      <c r="C998" s="21"/>
      <c r="D998" s="26" t="str">
        <f aca="false">IF(C998="","",IFERROR(INDEX('Cadastro Mestre'!$C$5:$C$504,MATCH(C998,'Cadastro Mestre'!$A$5:$A$504,0)),"código não encontrado"))</f>
        <v/>
      </c>
      <c r="E998" s="24" t="str">
        <f aca="false">IF(C998="","",IFERROR(INDEX('Cadastro Mestre'!$Q$5:$Q$504,MATCH(C998,'Cadastro Mestre'!$A$5:$A$504,0)),""))</f>
        <v/>
      </c>
      <c r="F998" s="21"/>
      <c r="G998" s="21"/>
      <c r="H998" s="21"/>
      <c r="I998" s="21"/>
    </row>
    <row r="999" customFormat="false" ht="15" hidden="false" customHeight="false" outlineLevel="0" collapsed="false">
      <c r="A999" s="25"/>
      <c r="B999" s="21"/>
      <c r="C999" s="21"/>
      <c r="D999" s="26" t="str">
        <f aca="false">IF(C999="","",IFERROR(INDEX('Cadastro Mestre'!$C$5:$C$504,MATCH(C999,'Cadastro Mestre'!$A$5:$A$504,0)),"código não encontrado"))</f>
        <v/>
      </c>
      <c r="E999" s="24" t="str">
        <f aca="false">IF(C999="","",IFERROR(INDEX('Cadastro Mestre'!$Q$5:$Q$504,MATCH(C999,'Cadastro Mestre'!$A$5:$A$504,0)),""))</f>
        <v/>
      </c>
      <c r="F999" s="21"/>
      <c r="G999" s="21"/>
      <c r="H999" s="21"/>
      <c r="I999" s="21"/>
    </row>
    <row r="1000" customFormat="false" ht="15" hidden="false" customHeight="false" outlineLevel="0" collapsed="false">
      <c r="A1000" s="25"/>
      <c r="B1000" s="21"/>
      <c r="C1000" s="21"/>
      <c r="D1000" s="26" t="str">
        <f aca="false">IF(C1000="","",IFERROR(INDEX('Cadastro Mestre'!$C$5:$C$504,MATCH(C1000,'Cadastro Mestre'!$A$5:$A$504,0)),"código não encontrado"))</f>
        <v/>
      </c>
      <c r="E1000" s="24" t="str">
        <f aca="false">IF(C1000="","",IFERROR(INDEX('Cadastro Mestre'!$Q$5:$Q$504,MATCH(C1000,'Cadastro Mestre'!$A$5:$A$504,0)),""))</f>
        <v/>
      </c>
      <c r="F1000" s="21"/>
      <c r="G1000" s="21"/>
      <c r="H1000" s="21"/>
      <c r="I1000" s="21"/>
    </row>
    <row r="1001" customFormat="false" ht="15" hidden="false" customHeight="false" outlineLevel="0" collapsed="false">
      <c r="A1001" s="25"/>
      <c r="B1001" s="21"/>
      <c r="C1001" s="21"/>
      <c r="D1001" s="26" t="str">
        <f aca="false">IF(C1001="","",IFERROR(INDEX('Cadastro Mestre'!$C$5:$C$504,MATCH(C1001,'Cadastro Mestre'!$A$5:$A$504,0)),"código não encontrado"))</f>
        <v/>
      </c>
      <c r="E1001" s="24" t="str">
        <f aca="false">IF(C1001="","",IFERROR(INDEX('Cadastro Mestre'!$Q$5:$Q$504,MATCH(C1001,'Cadastro Mestre'!$A$5:$A$504,0)),""))</f>
        <v/>
      </c>
      <c r="F1001" s="21"/>
      <c r="G1001" s="21"/>
      <c r="H1001" s="21"/>
      <c r="I1001" s="21"/>
    </row>
    <row r="1002" customFormat="false" ht="15" hidden="false" customHeight="false" outlineLevel="0" collapsed="false">
      <c r="A1002" s="25"/>
      <c r="B1002" s="21"/>
      <c r="C1002" s="21"/>
      <c r="D1002" s="26" t="str">
        <f aca="false">IF(C1002="","",IFERROR(INDEX('Cadastro Mestre'!$C$5:$C$504,MATCH(C1002,'Cadastro Mestre'!$A$5:$A$504,0)),"código não encontrado"))</f>
        <v/>
      </c>
      <c r="E1002" s="24" t="str">
        <f aca="false">IF(C1002="","",IFERROR(INDEX('Cadastro Mestre'!$Q$5:$Q$504,MATCH(C1002,'Cadastro Mestre'!$A$5:$A$504,0)),""))</f>
        <v/>
      </c>
      <c r="F1002" s="21"/>
      <c r="G1002" s="21"/>
      <c r="H1002" s="21"/>
      <c r="I1002" s="21"/>
    </row>
    <row r="1003" customFormat="false" ht="15" hidden="false" customHeight="false" outlineLevel="0" collapsed="false">
      <c r="A1003" s="25"/>
      <c r="B1003" s="21"/>
      <c r="C1003" s="21"/>
      <c r="D1003" s="26" t="str">
        <f aca="false">IF(C1003="","",IFERROR(INDEX('Cadastro Mestre'!$C$5:$C$504,MATCH(C1003,'Cadastro Mestre'!$A$5:$A$504,0)),"código não encontrado"))</f>
        <v/>
      </c>
      <c r="E1003" s="24" t="str">
        <f aca="false">IF(C1003="","",IFERROR(INDEX('Cadastro Mestre'!$Q$5:$Q$504,MATCH(C1003,'Cadastro Mestre'!$A$5:$A$504,0)),""))</f>
        <v/>
      </c>
      <c r="F1003" s="21"/>
      <c r="G1003" s="21"/>
      <c r="H1003" s="21"/>
      <c r="I1003" s="21"/>
    </row>
    <row r="1004" customFormat="false" ht="15" hidden="false" customHeight="false" outlineLevel="0" collapsed="false">
      <c r="A1004" s="25"/>
      <c r="B1004" s="21"/>
      <c r="C1004" s="21"/>
      <c r="D1004" s="26" t="str">
        <f aca="false">IF(C1004="","",IFERROR(INDEX('Cadastro Mestre'!$C$5:$C$504,MATCH(C1004,'Cadastro Mestre'!$A$5:$A$504,0)),"código não encontrado"))</f>
        <v/>
      </c>
      <c r="E1004" s="24" t="str">
        <f aca="false">IF(C1004="","",IFERROR(INDEX('Cadastro Mestre'!$Q$5:$Q$504,MATCH(C1004,'Cadastro Mestre'!$A$5:$A$504,0)),""))</f>
        <v/>
      </c>
      <c r="F1004" s="21"/>
      <c r="G1004" s="21"/>
      <c r="H1004" s="21"/>
      <c r="I1004" s="21"/>
    </row>
    <row r="1005" customFormat="false" ht="15" hidden="false" customHeight="false" outlineLevel="0" collapsed="false">
      <c r="A1005" s="25"/>
      <c r="B1005" s="21"/>
      <c r="C1005" s="21"/>
      <c r="D1005" s="26" t="str">
        <f aca="false">IF(C1005="","",IFERROR(INDEX('Cadastro Mestre'!$C$5:$C$504,MATCH(C1005,'Cadastro Mestre'!$A$5:$A$504,0)),"código não encontrado"))</f>
        <v/>
      </c>
      <c r="E1005" s="24" t="str">
        <f aca="false">IF(C1005="","",IFERROR(INDEX('Cadastro Mestre'!$Q$5:$Q$504,MATCH(C1005,'Cadastro Mestre'!$A$5:$A$504,0)),""))</f>
        <v/>
      </c>
      <c r="F1005" s="21"/>
      <c r="G1005" s="21"/>
      <c r="H1005" s="21"/>
      <c r="I1005" s="21"/>
    </row>
    <row r="1006" customFormat="false" ht="15" hidden="false" customHeight="false" outlineLevel="0" collapsed="false">
      <c r="A1006" s="25"/>
      <c r="B1006" s="21"/>
      <c r="C1006" s="21"/>
      <c r="D1006" s="26" t="str">
        <f aca="false">IF(C1006="","",IFERROR(INDEX('Cadastro Mestre'!$C$5:$C$504,MATCH(C1006,'Cadastro Mestre'!$A$5:$A$504,0)),"código não encontrado"))</f>
        <v/>
      </c>
      <c r="E1006" s="24" t="str">
        <f aca="false">IF(C1006="","",IFERROR(INDEX('Cadastro Mestre'!$Q$5:$Q$504,MATCH(C1006,'Cadastro Mestre'!$A$5:$A$504,0)),""))</f>
        <v/>
      </c>
      <c r="F1006" s="21"/>
      <c r="G1006" s="21"/>
      <c r="H1006" s="21"/>
      <c r="I1006" s="21"/>
    </row>
    <row r="1007" customFormat="false" ht="15" hidden="false" customHeight="false" outlineLevel="0" collapsed="false">
      <c r="A1007" s="25"/>
      <c r="B1007" s="21"/>
      <c r="C1007" s="21"/>
      <c r="D1007" s="26" t="str">
        <f aca="false">IF(C1007="","",IFERROR(INDEX('Cadastro Mestre'!$C$5:$C$504,MATCH(C1007,'Cadastro Mestre'!$A$5:$A$504,0)),"código não encontrado"))</f>
        <v/>
      </c>
      <c r="E1007" s="24" t="str">
        <f aca="false">IF(C1007="","",IFERROR(INDEX('Cadastro Mestre'!$Q$5:$Q$504,MATCH(C1007,'Cadastro Mestre'!$A$5:$A$504,0)),""))</f>
        <v/>
      </c>
      <c r="F1007" s="21"/>
      <c r="G1007" s="21"/>
      <c r="H1007" s="21"/>
      <c r="I1007" s="21"/>
    </row>
    <row r="1008" customFormat="false" ht="15" hidden="false" customHeight="false" outlineLevel="0" collapsed="false">
      <c r="A1008" s="25"/>
      <c r="B1008" s="21"/>
      <c r="C1008" s="21"/>
      <c r="D1008" s="26" t="str">
        <f aca="false">IF(C1008="","",IFERROR(INDEX('Cadastro Mestre'!$C$5:$C$504,MATCH(C1008,'Cadastro Mestre'!$A$5:$A$504,0)),"código não encontrado"))</f>
        <v/>
      </c>
      <c r="E1008" s="24" t="str">
        <f aca="false">IF(C1008="","",IFERROR(INDEX('Cadastro Mestre'!$Q$5:$Q$504,MATCH(C1008,'Cadastro Mestre'!$A$5:$A$504,0)),""))</f>
        <v/>
      </c>
      <c r="F1008" s="21"/>
      <c r="G1008" s="21"/>
      <c r="H1008" s="21"/>
      <c r="I1008" s="21"/>
    </row>
    <row r="1009" customFormat="false" ht="15" hidden="false" customHeight="false" outlineLevel="0" collapsed="false">
      <c r="A1009" s="25"/>
      <c r="B1009" s="21"/>
      <c r="C1009" s="21"/>
      <c r="D1009" s="26" t="str">
        <f aca="false">IF(C1009="","",IFERROR(INDEX('Cadastro Mestre'!$C$5:$C$504,MATCH(C1009,'Cadastro Mestre'!$A$5:$A$504,0)),"código não encontrado"))</f>
        <v/>
      </c>
      <c r="E1009" s="24" t="str">
        <f aca="false">IF(C1009="","",IFERROR(INDEX('Cadastro Mestre'!$Q$5:$Q$504,MATCH(C1009,'Cadastro Mestre'!$A$5:$A$504,0)),""))</f>
        <v/>
      </c>
      <c r="F1009" s="21"/>
      <c r="G1009" s="21"/>
      <c r="H1009" s="21"/>
      <c r="I1009" s="21"/>
    </row>
    <row r="1010" customFormat="false" ht="15" hidden="false" customHeight="false" outlineLevel="0" collapsed="false">
      <c r="A1010" s="25"/>
      <c r="B1010" s="21"/>
      <c r="C1010" s="21"/>
      <c r="D1010" s="26" t="str">
        <f aca="false">IF(C1010="","",IFERROR(INDEX('Cadastro Mestre'!$C$5:$C$504,MATCH(C1010,'Cadastro Mestre'!$A$5:$A$504,0)),"código não encontrado"))</f>
        <v/>
      </c>
      <c r="E1010" s="24" t="str">
        <f aca="false">IF(C1010="","",IFERROR(INDEX('Cadastro Mestre'!$Q$5:$Q$504,MATCH(C1010,'Cadastro Mestre'!$A$5:$A$504,0)),""))</f>
        <v/>
      </c>
      <c r="F1010" s="21"/>
      <c r="G1010" s="21"/>
      <c r="H1010" s="21"/>
      <c r="I1010" s="21"/>
    </row>
    <row r="1011" customFormat="false" ht="15" hidden="false" customHeight="false" outlineLevel="0" collapsed="false">
      <c r="A1011" s="25"/>
      <c r="B1011" s="21"/>
      <c r="C1011" s="21"/>
      <c r="D1011" s="26" t="str">
        <f aca="false">IF(C1011="","",IFERROR(INDEX('Cadastro Mestre'!$C$5:$C$504,MATCH(C1011,'Cadastro Mestre'!$A$5:$A$504,0)),"código não encontrado"))</f>
        <v/>
      </c>
      <c r="E1011" s="24" t="str">
        <f aca="false">IF(C1011="","",IFERROR(INDEX('Cadastro Mestre'!$Q$5:$Q$504,MATCH(C1011,'Cadastro Mestre'!$A$5:$A$504,0)),""))</f>
        <v/>
      </c>
      <c r="F1011" s="21"/>
      <c r="G1011" s="21"/>
      <c r="H1011" s="21"/>
      <c r="I1011" s="21"/>
    </row>
    <row r="1012" customFormat="false" ht="15" hidden="false" customHeight="false" outlineLevel="0" collapsed="false">
      <c r="A1012" s="25"/>
      <c r="B1012" s="21"/>
      <c r="C1012" s="21"/>
      <c r="D1012" s="26" t="str">
        <f aca="false">IF(C1012="","",IFERROR(INDEX('Cadastro Mestre'!$C$5:$C$504,MATCH(C1012,'Cadastro Mestre'!$A$5:$A$504,0)),"código não encontrado"))</f>
        <v/>
      </c>
      <c r="E1012" s="24" t="str">
        <f aca="false">IF(C1012="","",IFERROR(INDEX('Cadastro Mestre'!$Q$5:$Q$504,MATCH(C1012,'Cadastro Mestre'!$A$5:$A$504,0)),""))</f>
        <v/>
      </c>
      <c r="F1012" s="21"/>
      <c r="G1012" s="21"/>
      <c r="H1012" s="21"/>
      <c r="I1012" s="21"/>
    </row>
    <row r="1013" customFormat="false" ht="15" hidden="false" customHeight="false" outlineLevel="0" collapsed="false">
      <c r="A1013" s="25"/>
      <c r="B1013" s="21"/>
      <c r="C1013" s="21"/>
      <c r="D1013" s="26" t="str">
        <f aca="false">IF(C1013="","",IFERROR(INDEX('Cadastro Mestre'!$C$5:$C$504,MATCH(C1013,'Cadastro Mestre'!$A$5:$A$504,0)),"código não encontrado"))</f>
        <v/>
      </c>
      <c r="E1013" s="24" t="str">
        <f aca="false">IF(C1013="","",IFERROR(INDEX('Cadastro Mestre'!$Q$5:$Q$504,MATCH(C1013,'Cadastro Mestre'!$A$5:$A$504,0)),""))</f>
        <v/>
      </c>
      <c r="F1013" s="21"/>
      <c r="G1013" s="21"/>
      <c r="H1013" s="21"/>
      <c r="I1013" s="21"/>
    </row>
    <row r="1014" customFormat="false" ht="15" hidden="false" customHeight="false" outlineLevel="0" collapsed="false">
      <c r="A1014" s="25"/>
      <c r="B1014" s="21"/>
      <c r="C1014" s="21"/>
      <c r="D1014" s="26" t="str">
        <f aca="false">IF(C1014="","",IFERROR(INDEX('Cadastro Mestre'!$C$5:$C$504,MATCH(C1014,'Cadastro Mestre'!$A$5:$A$504,0)),"código não encontrado"))</f>
        <v/>
      </c>
      <c r="E1014" s="24" t="str">
        <f aca="false">IF(C1014="","",IFERROR(INDEX('Cadastro Mestre'!$Q$5:$Q$504,MATCH(C1014,'Cadastro Mestre'!$A$5:$A$504,0)),""))</f>
        <v/>
      </c>
      <c r="F1014" s="21"/>
      <c r="G1014" s="21"/>
      <c r="H1014" s="21"/>
      <c r="I1014" s="21"/>
    </row>
    <row r="1015" customFormat="false" ht="15" hidden="false" customHeight="false" outlineLevel="0" collapsed="false">
      <c r="A1015" s="25"/>
      <c r="B1015" s="21"/>
      <c r="C1015" s="21"/>
      <c r="D1015" s="26" t="str">
        <f aca="false">IF(C1015="","",IFERROR(INDEX('Cadastro Mestre'!$C$5:$C$504,MATCH(C1015,'Cadastro Mestre'!$A$5:$A$504,0)),"código não encontrado"))</f>
        <v/>
      </c>
      <c r="E1015" s="24" t="str">
        <f aca="false">IF(C1015="","",IFERROR(INDEX('Cadastro Mestre'!$Q$5:$Q$504,MATCH(C1015,'Cadastro Mestre'!$A$5:$A$504,0)),""))</f>
        <v/>
      </c>
      <c r="F1015" s="21"/>
      <c r="G1015" s="21"/>
      <c r="H1015" s="21"/>
      <c r="I1015" s="21"/>
    </row>
    <row r="1016" customFormat="false" ht="15" hidden="false" customHeight="false" outlineLevel="0" collapsed="false">
      <c r="A1016" s="25"/>
      <c r="B1016" s="21"/>
      <c r="C1016" s="21"/>
      <c r="D1016" s="26" t="str">
        <f aca="false">IF(C1016="","",IFERROR(INDEX('Cadastro Mestre'!$C$5:$C$504,MATCH(C1016,'Cadastro Mestre'!$A$5:$A$504,0)),"código não encontrado"))</f>
        <v/>
      </c>
      <c r="E1016" s="24" t="str">
        <f aca="false">IF(C1016="","",IFERROR(INDEX('Cadastro Mestre'!$Q$5:$Q$504,MATCH(C1016,'Cadastro Mestre'!$A$5:$A$504,0)),""))</f>
        <v/>
      </c>
      <c r="F1016" s="21"/>
      <c r="G1016" s="21"/>
      <c r="H1016" s="21"/>
      <c r="I1016" s="21"/>
    </row>
    <row r="1017" customFormat="false" ht="15" hidden="false" customHeight="false" outlineLevel="0" collapsed="false">
      <c r="A1017" s="25"/>
      <c r="B1017" s="21"/>
      <c r="C1017" s="21"/>
      <c r="D1017" s="26" t="str">
        <f aca="false">IF(C1017="","",IFERROR(INDEX('Cadastro Mestre'!$C$5:$C$504,MATCH(C1017,'Cadastro Mestre'!$A$5:$A$504,0)),"código não encontrado"))</f>
        <v/>
      </c>
      <c r="E1017" s="24" t="str">
        <f aca="false">IF(C1017="","",IFERROR(INDEX('Cadastro Mestre'!$Q$5:$Q$504,MATCH(C1017,'Cadastro Mestre'!$A$5:$A$504,0)),""))</f>
        <v/>
      </c>
      <c r="F1017" s="21"/>
      <c r="G1017" s="21"/>
      <c r="H1017" s="21"/>
      <c r="I1017" s="21"/>
    </row>
    <row r="1018" customFormat="false" ht="15" hidden="false" customHeight="false" outlineLevel="0" collapsed="false">
      <c r="A1018" s="25"/>
      <c r="B1018" s="21"/>
      <c r="C1018" s="21"/>
      <c r="D1018" s="26" t="str">
        <f aca="false">IF(C1018="","",IFERROR(INDEX('Cadastro Mestre'!$C$5:$C$504,MATCH(C1018,'Cadastro Mestre'!$A$5:$A$504,0)),"código não encontrado"))</f>
        <v/>
      </c>
      <c r="E1018" s="24" t="str">
        <f aca="false">IF(C1018="","",IFERROR(INDEX('Cadastro Mestre'!$Q$5:$Q$504,MATCH(C1018,'Cadastro Mestre'!$A$5:$A$504,0)),""))</f>
        <v/>
      </c>
      <c r="F1018" s="21"/>
      <c r="G1018" s="21"/>
      <c r="H1018" s="21"/>
      <c r="I1018" s="21"/>
    </row>
    <row r="1019" customFormat="false" ht="15" hidden="false" customHeight="false" outlineLevel="0" collapsed="false">
      <c r="A1019" s="25"/>
      <c r="B1019" s="21"/>
      <c r="C1019" s="21"/>
      <c r="D1019" s="26" t="str">
        <f aca="false">IF(C1019="","",IFERROR(INDEX('Cadastro Mestre'!$C$5:$C$504,MATCH(C1019,'Cadastro Mestre'!$A$5:$A$504,0)),"código não encontrado"))</f>
        <v/>
      </c>
      <c r="E1019" s="24" t="str">
        <f aca="false">IF(C1019="","",IFERROR(INDEX('Cadastro Mestre'!$Q$5:$Q$504,MATCH(C1019,'Cadastro Mestre'!$A$5:$A$504,0)),""))</f>
        <v/>
      </c>
      <c r="F1019" s="21"/>
      <c r="G1019" s="21"/>
      <c r="H1019" s="21"/>
      <c r="I1019" s="21"/>
    </row>
    <row r="1020" customFormat="false" ht="15" hidden="false" customHeight="false" outlineLevel="0" collapsed="false">
      <c r="A1020" s="25"/>
      <c r="B1020" s="21"/>
      <c r="C1020" s="21"/>
      <c r="D1020" s="26" t="str">
        <f aca="false">IF(C1020="","",IFERROR(INDEX('Cadastro Mestre'!$C$5:$C$504,MATCH(C1020,'Cadastro Mestre'!$A$5:$A$504,0)),"código não encontrado"))</f>
        <v/>
      </c>
      <c r="E1020" s="24" t="str">
        <f aca="false">IF(C1020="","",IFERROR(INDEX('Cadastro Mestre'!$Q$5:$Q$504,MATCH(C1020,'Cadastro Mestre'!$A$5:$A$504,0)),""))</f>
        <v/>
      </c>
      <c r="F1020" s="21"/>
      <c r="G1020" s="21"/>
      <c r="H1020" s="21"/>
      <c r="I1020" s="21"/>
    </row>
    <row r="1021" customFormat="false" ht="15" hidden="false" customHeight="false" outlineLevel="0" collapsed="false">
      <c r="A1021" s="25"/>
      <c r="B1021" s="21"/>
      <c r="C1021" s="21"/>
      <c r="D1021" s="26" t="str">
        <f aca="false">IF(C1021="","",IFERROR(INDEX('Cadastro Mestre'!$C$5:$C$504,MATCH(C1021,'Cadastro Mestre'!$A$5:$A$504,0)),"código não encontrado"))</f>
        <v/>
      </c>
      <c r="E1021" s="24" t="str">
        <f aca="false">IF(C1021="","",IFERROR(INDEX('Cadastro Mestre'!$Q$5:$Q$504,MATCH(C1021,'Cadastro Mestre'!$A$5:$A$504,0)),""))</f>
        <v/>
      </c>
      <c r="F1021" s="21"/>
      <c r="G1021" s="21"/>
      <c r="H1021" s="21"/>
      <c r="I1021" s="21"/>
    </row>
    <row r="1022" customFormat="false" ht="15" hidden="false" customHeight="false" outlineLevel="0" collapsed="false">
      <c r="A1022" s="25"/>
      <c r="B1022" s="21"/>
      <c r="C1022" s="21"/>
      <c r="D1022" s="26" t="str">
        <f aca="false">IF(C1022="","",IFERROR(INDEX('Cadastro Mestre'!$C$5:$C$504,MATCH(C1022,'Cadastro Mestre'!$A$5:$A$504,0)),"código não encontrado"))</f>
        <v/>
      </c>
      <c r="E1022" s="24" t="str">
        <f aca="false">IF(C1022="","",IFERROR(INDEX('Cadastro Mestre'!$Q$5:$Q$504,MATCH(C1022,'Cadastro Mestre'!$A$5:$A$504,0)),""))</f>
        <v/>
      </c>
      <c r="F1022" s="21"/>
      <c r="G1022" s="21"/>
      <c r="H1022" s="21"/>
      <c r="I1022" s="21"/>
    </row>
    <row r="1023" customFormat="false" ht="15" hidden="false" customHeight="false" outlineLevel="0" collapsed="false">
      <c r="A1023" s="25"/>
      <c r="B1023" s="21"/>
      <c r="C1023" s="21"/>
      <c r="D1023" s="26" t="str">
        <f aca="false">IF(C1023="","",IFERROR(INDEX('Cadastro Mestre'!$C$5:$C$504,MATCH(C1023,'Cadastro Mestre'!$A$5:$A$504,0)),"código não encontrado"))</f>
        <v/>
      </c>
      <c r="E1023" s="24" t="str">
        <f aca="false">IF(C1023="","",IFERROR(INDEX('Cadastro Mestre'!$Q$5:$Q$504,MATCH(C1023,'Cadastro Mestre'!$A$5:$A$504,0)),""))</f>
        <v/>
      </c>
      <c r="F1023" s="21"/>
      <c r="G1023" s="21"/>
      <c r="H1023" s="21"/>
      <c r="I1023" s="21"/>
    </row>
    <row r="1024" customFormat="false" ht="15" hidden="false" customHeight="false" outlineLevel="0" collapsed="false">
      <c r="A1024" s="25"/>
      <c r="B1024" s="21"/>
      <c r="C1024" s="21"/>
      <c r="D1024" s="26" t="str">
        <f aca="false">IF(C1024="","",IFERROR(INDEX('Cadastro Mestre'!$C$5:$C$504,MATCH(C1024,'Cadastro Mestre'!$A$5:$A$504,0)),"código não encontrado"))</f>
        <v/>
      </c>
      <c r="E1024" s="24" t="str">
        <f aca="false">IF(C1024="","",IFERROR(INDEX('Cadastro Mestre'!$Q$5:$Q$504,MATCH(C1024,'Cadastro Mestre'!$A$5:$A$504,0)),""))</f>
        <v/>
      </c>
      <c r="F1024" s="21"/>
      <c r="G1024" s="21"/>
      <c r="H1024" s="21"/>
      <c r="I1024" s="21"/>
    </row>
    <row r="1025" customFormat="false" ht="15" hidden="false" customHeight="false" outlineLevel="0" collapsed="false">
      <c r="A1025" s="25"/>
      <c r="B1025" s="21"/>
      <c r="C1025" s="21"/>
      <c r="D1025" s="26" t="str">
        <f aca="false">IF(C1025="","",IFERROR(INDEX('Cadastro Mestre'!$C$5:$C$504,MATCH(C1025,'Cadastro Mestre'!$A$5:$A$504,0)),"código não encontrado"))</f>
        <v/>
      </c>
      <c r="E1025" s="24" t="str">
        <f aca="false">IF(C1025="","",IFERROR(INDEX('Cadastro Mestre'!$Q$5:$Q$504,MATCH(C1025,'Cadastro Mestre'!$A$5:$A$504,0)),""))</f>
        <v/>
      </c>
      <c r="F1025" s="21"/>
      <c r="G1025" s="21"/>
      <c r="H1025" s="21"/>
      <c r="I1025" s="21"/>
    </row>
    <row r="1026" customFormat="false" ht="15" hidden="false" customHeight="false" outlineLevel="0" collapsed="false">
      <c r="A1026" s="25"/>
      <c r="B1026" s="21"/>
      <c r="C1026" s="21"/>
      <c r="D1026" s="26" t="str">
        <f aca="false">IF(C1026="","",IFERROR(INDEX('Cadastro Mestre'!$C$5:$C$504,MATCH(C1026,'Cadastro Mestre'!$A$5:$A$504,0)),"código não encontrado"))</f>
        <v/>
      </c>
      <c r="E1026" s="24" t="str">
        <f aca="false">IF(C1026="","",IFERROR(INDEX('Cadastro Mestre'!$Q$5:$Q$504,MATCH(C1026,'Cadastro Mestre'!$A$5:$A$504,0)),""))</f>
        <v/>
      </c>
      <c r="F1026" s="21"/>
      <c r="G1026" s="21"/>
      <c r="H1026" s="21"/>
      <c r="I1026" s="21"/>
    </row>
    <row r="1027" customFormat="false" ht="15" hidden="false" customHeight="false" outlineLevel="0" collapsed="false">
      <c r="A1027" s="25"/>
      <c r="B1027" s="21"/>
      <c r="C1027" s="21"/>
      <c r="D1027" s="26" t="str">
        <f aca="false">IF(C1027="","",IFERROR(INDEX('Cadastro Mestre'!$C$5:$C$504,MATCH(C1027,'Cadastro Mestre'!$A$5:$A$504,0)),"código não encontrado"))</f>
        <v/>
      </c>
      <c r="E1027" s="24" t="str">
        <f aca="false">IF(C1027="","",IFERROR(INDEX('Cadastro Mestre'!$Q$5:$Q$504,MATCH(C1027,'Cadastro Mestre'!$A$5:$A$504,0)),""))</f>
        <v/>
      </c>
      <c r="F1027" s="21"/>
      <c r="G1027" s="21"/>
      <c r="H1027" s="21"/>
      <c r="I1027" s="21"/>
    </row>
    <row r="1028" customFormat="false" ht="15" hidden="false" customHeight="false" outlineLevel="0" collapsed="false">
      <c r="A1028" s="25"/>
      <c r="B1028" s="21"/>
      <c r="C1028" s="21"/>
      <c r="D1028" s="26" t="str">
        <f aca="false">IF(C1028="","",IFERROR(INDEX('Cadastro Mestre'!$C$5:$C$504,MATCH(C1028,'Cadastro Mestre'!$A$5:$A$504,0)),"código não encontrado"))</f>
        <v/>
      </c>
      <c r="E1028" s="24" t="str">
        <f aca="false">IF(C1028="","",IFERROR(INDEX('Cadastro Mestre'!$Q$5:$Q$504,MATCH(C1028,'Cadastro Mestre'!$A$5:$A$504,0)),""))</f>
        <v/>
      </c>
      <c r="F1028" s="21"/>
      <c r="G1028" s="21"/>
      <c r="H1028" s="21"/>
      <c r="I1028" s="21"/>
    </row>
    <row r="1029" customFormat="false" ht="15" hidden="false" customHeight="false" outlineLevel="0" collapsed="false">
      <c r="A1029" s="25"/>
      <c r="B1029" s="21"/>
      <c r="C1029" s="21"/>
      <c r="D1029" s="26" t="str">
        <f aca="false">IF(C1029="","",IFERROR(INDEX('Cadastro Mestre'!$C$5:$C$504,MATCH(C1029,'Cadastro Mestre'!$A$5:$A$504,0)),"código não encontrado"))</f>
        <v/>
      </c>
      <c r="E1029" s="24" t="str">
        <f aca="false">IF(C1029="","",IFERROR(INDEX('Cadastro Mestre'!$Q$5:$Q$504,MATCH(C1029,'Cadastro Mestre'!$A$5:$A$504,0)),""))</f>
        <v/>
      </c>
      <c r="F1029" s="21"/>
      <c r="G1029" s="21"/>
      <c r="H1029" s="21"/>
      <c r="I1029" s="21"/>
    </row>
    <row r="1030" customFormat="false" ht="15" hidden="false" customHeight="false" outlineLevel="0" collapsed="false">
      <c r="A1030" s="25"/>
      <c r="B1030" s="21"/>
      <c r="C1030" s="21"/>
      <c r="D1030" s="26" t="str">
        <f aca="false">IF(C1030="","",IFERROR(INDEX('Cadastro Mestre'!$C$5:$C$504,MATCH(C1030,'Cadastro Mestre'!$A$5:$A$504,0)),"código não encontrado"))</f>
        <v/>
      </c>
      <c r="E1030" s="24" t="str">
        <f aca="false">IF(C1030="","",IFERROR(INDEX('Cadastro Mestre'!$Q$5:$Q$504,MATCH(C1030,'Cadastro Mestre'!$A$5:$A$504,0)),""))</f>
        <v/>
      </c>
      <c r="F1030" s="21"/>
      <c r="G1030" s="21"/>
      <c r="H1030" s="21"/>
      <c r="I1030" s="21"/>
    </row>
    <row r="1031" customFormat="false" ht="15" hidden="false" customHeight="false" outlineLevel="0" collapsed="false">
      <c r="A1031" s="25"/>
      <c r="B1031" s="21"/>
      <c r="C1031" s="21"/>
      <c r="D1031" s="26" t="str">
        <f aca="false">IF(C1031="","",IFERROR(INDEX('Cadastro Mestre'!$C$5:$C$504,MATCH(C1031,'Cadastro Mestre'!$A$5:$A$504,0)),"código não encontrado"))</f>
        <v/>
      </c>
      <c r="E1031" s="24" t="str">
        <f aca="false">IF(C1031="","",IFERROR(INDEX('Cadastro Mestre'!$Q$5:$Q$504,MATCH(C1031,'Cadastro Mestre'!$A$5:$A$504,0)),""))</f>
        <v/>
      </c>
      <c r="F1031" s="21"/>
      <c r="G1031" s="21"/>
      <c r="H1031" s="21"/>
      <c r="I1031" s="21"/>
    </row>
    <row r="1032" customFormat="false" ht="15" hidden="false" customHeight="false" outlineLevel="0" collapsed="false">
      <c r="A1032" s="25"/>
      <c r="B1032" s="21"/>
      <c r="C1032" s="21"/>
      <c r="D1032" s="26" t="str">
        <f aca="false">IF(C1032="","",IFERROR(INDEX('Cadastro Mestre'!$C$5:$C$504,MATCH(C1032,'Cadastro Mestre'!$A$5:$A$504,0)),"código não encontrado"))</f>
        <v/>
      </c>
      <c r="E1032" s="24" t="str">
        <f aca="false">IF(C1032="","",IFERROR(INDEX('Cadastro Mestre'!$Q$5:$Q$504,MATCH(C1032,'Cadastro Mestre'!$A$5:$A$504,0)),""))</f>
        <v/>
      </c>
      <c r="F1032" s="21"/>
      <c r="G1032" s="21"/>
      <c r="H1032" s="21"/>
      <c r="I1032" s="21"/>
    </row>
    <row r="1033" customFormat="false" ht="15" hidden="false" customHeight="false" outlineLevel="0" collapsed="false">
      <c r="A1033" s="25"/>
      <c r="B1033" s="21"/>
      <c r="C1033" s="21"/>
      <c r="D1033" s="26" t="str">
        <f aca="false">IF(C1033="","",IFERROR(INDEX('Cadastro Mestre'!$C$5:$C$504,MATCH(C1033,'Cadastro Mestre'!$A$5:$A$504,0)),"código não encontrado"))</f>
        <v/>
      </c>
      <c r="E1033" s="24" t="str">
        <f aca="false">IF(C1033="","",IFERROR(INDEX('Cadastro Mestre'!$Q$5:$Q$504,MATCH(C1033,'Cadastro Mestre'!$A$5:$A$504,0)),""))</f>
        <v/>
      </c>
      <c r="F1033" s="21"/>
      <c r="G1033" s="21"/>
      <c r="H1033" s="21"/>
      <c r="I1033" s="21"/>
    </row>
    <row r="1034" customFormat="false" ht="15" hidden="false" customHeight="false" outlineLevel="0" collapsed="false">
      <c r="A1034" s="25"/>
      <c r="B1034" s="21"/>
      <c r="C1034" s="21"/>
      <c r="D1034" s="26" t="str">
        <f aca="false">IF(C1034="","",IFERROR(INDEX('Cadastro Mestre'!$C$5:$C$504,MATCH(C1034,'Cadastro Mestre'!$A$5:$A$504,0)),"código não encontrado"))</f>
        <v/>
      </c>
      <c r="E1034" s="24" t="str">
        <f aca="false">IF(C1034="","",IFERROR(INDEX('Cadastro Mestre'!$Q$5:$Q$504,MATCH(C1034,'Cadastro Mestre'!$A$5:$A$504,0)),""))</f>
        <v/>
      </c>
      <c r="F1034" s="21"/>
      <c r="G1034" s="21"/>
      <c r="H1034" s="21"/>
      <c r="I1034" s="21"/>
    </row>
    <row r="1035" customFormat="false" ht="15" hidden="false" customHeight="false" outlineLevel="0" collapsed="false">
      <c r="A1035" s="25"/>
      <c r="B1035" s="21"/>
      <c r="C1035" s="21"/>
      <c r="D1035" s="26" t="str">
        <f aca="false">IF(C1035="","",IFERROR(INDEX('Cadastro Mestre'!$C$5:$C$504,MATCH(C1035,'Cadastro Mestre'!$A$5:$A$504,0)),"código não encontrado"))</f>
        <v/>
      </c>
      <c r="E1035" s="24" t="str">
        <f aca="false">IF(C1035="","",IFERROR(INDEX('Cadastro Mestre'!$Q$5:$Q$504,MATCH(C1035,'Cadastro Mestre'!$A$5:$A$504,0)),""))</f>
        <v/>
      </c>
      <c r="F1035" s="21"/>
      <c r="G1035" s="21"/>
      <c r="H1035" s="21"/>
      <c r="I1035" s="21"/>
    </row>
    <row r="1036" customFormat="false" ht="15" hidden="false" customHeight="false" outlineLevel="0" collapsed="false">
      <c r="A1036" s="25"/>
      <c r="B1036" s="21"/>
      <c r="C1036" s="21"/>
      <c r="D1036" s="26" t="str">
        <f aca="false">IF(C1036="","",IFERROR(INDEX('Cadastro Mestre'!$C$5:$C$504,MATCH(C1036,'Cadastro Mestre'!$A$5:$A$504,0)),"código não encontrado"))</f>
        <v/>
      </c>
      <c r="E1036" s="24" t="str">
        <f aca="false">IF(C1036="","",IFERROR(INDEX('Cadastro Mestre'!$Q$5:$Q$504,MATCH(C1036,'Cadastro Mestre'!$A$5:$A$504,0)),""))</f>
        <v/>
      </c>
      <c r="F1036" s="21"/>
      <c r="G1036" s="21"/>
      <c r="H1036" s="21"/>
      <c r="I1036" s="21"/>
    </row>
    <row r="1037" customFormat="false" ht="15" hidden="false" customHeight="false" outlineLevel="0" collapsed="false">
      <c r="A1037" s="25"/>
      <c r="B1037" s="21"/>
      <c r="C1037" s="21"/>
      <c r="D1037" s="26" t="str">
        <f aca="false">IF(C1037="","",IFERROR(INDEX('Cadastro Mestre'!$C$5:$C$504,MATCH(C1037,'Cadastro Mestre'!$A$5:$A$504,0)),"código não encontrado"))</f>
        <v/>
      </c>
      <c r="E1037" s="24" t="str">
        <f aca="false">IF(C1037="","",IFERROR(INDEX('Cadastro Mestre'!$Q$5:$Q$504,MATCH(C1037,'Cadastro Mestre'!$A$5:$A$504,0)),""))</f>
        <v/>
      </c>
      <c r="F1037" s="21"/>
      <c r="G1037" s="21"/>
      <c r="H1037" s="21"/>
      <c r="I1037" s="21"/>
    </row>
    <row r="1038" customFormat="false" ht="15" hidden="false" customHeight="false" outlineLevel="0" collapsed="false">
      <c r="A1038" s="25"/>
      <c r="B1038" s="21"/>
      <c r="C1038" s="21"/>
      <c r="D1038" s="26" t="str">
        <f aca="false">IF(C1038="","",IFERROR(INDEX('Cadastro Mestre'!$C$5:$C$504,MATCH(C1038,'Cadastro Mestre'!$A$5:$A$504,0)),"código não encontrado"))</f>
        <v/>
      </c>
      <c r="E1038" s="24" t="str">
        <f aca="false">IF(C1038="","",IFERROR(INDEX('Cadastro Mestre'!$Q$5:$Q$504,MATCH(C1038,'Cadastro Mestre'!$A$5:$A$504,0)),""))</f>
        <v/>
      </c>
      <c r="F1038" s="21"/>
      <c r="G1038" s="21"/>
      <c r="H1038" s="21"/>
      <c r="I1038" s="21"/>
    </row>
    <row r="1039" customFormat="false" ht="15" hidden="false" customHeight="false" outlineLevel="0" collapsed="false">
      <c r="A1039" s="25"/>
      <c r="B1039" s="21"/>
      <c r="C1039" s="21"/>
      <c r="D1039" s="26" t="str">
        <f aca="false">IF(C1039="","",IFERROR(INDEX('Cadastro Mestre'!$C$5:$C$504,MATCH(C1039,'Cadastro Mestre'!$A$5:$A$504,0)),"código não encontrado"))</f>
        <v/>
      </c>
      <c r="E1039" s="24" t="str">
        <f aca="false">IF(C1039="","",IFERROR(INDEX('Cadastro Mestre'!$Q$5:$Q$504,MATCH(C1039,'Cadastro Mestre'!$A$5:$A$504,0)),""))</f>
        <v/>
      </c>
      <c r="F1039" s="21"/>
      <c r="G1039" s="21"/>
      <c r="H1039" s="21"/>
      <c r="I1039" s="21"/>
    </row>
    <row r="1040" customFormat="false" ht="15" hidden="false" customHeight="false" outlineLevel="0" collapsed="false">
      <c r="A1040" s="25"/>
      <c r="B1040" s="21"/>
      <c r="C1040" s="21"/>
      <c r="D1040" s="26" t="str">
        <f aca="false">IF(C1040="","",IFERROR(INDEX('Cadastro Mestre'!$C$5:$C$504,MATCH(C1040,'Cadastro Mestre'!$A$5:$A$504,0)),"código não encontrado"))</f>
        <v/>
      </c>
      <c r="E1040" s="24" t="str">
        <f aca="false">IF(C1040="","",IFERROR(INDEX('Cadastro Mestre'!$Q$5:$Q$504,MATCH(C1040,'Cadastro Mestre'!$A$5:$A$504,0)),""))</f>
        <v/>
      </c>
      <c r="F1040" s="21"/>
      <c r="G1040" s="21"/>
      <c r="H1040" s="21"/>
      <c r="I1040" s="21"/>
    </row>
    <row r="1041" customFormat="false" ht="15" hidden="false" customHeight="false" outlineLevel="0" collapsed="false">
      <c r="A1041" s="25"/>
      <c r="B1041" s="21"/>
      <c r="C1041" s="21"/>
      <c r="D1041" s="26" t="str">
        <f aca="false">IF(C1041="","",IFERROR(INDEX('Cadastro Mestre'!$C$5:$C$504,MATCH(C1041,'Cadastro Mestre'!$A$5:$A$504,0)),"código não encontrado"))</f>
        <v/>
      </c>
      <c r="E1041" s="24" t="str">
        <f aca="false">IF(C1041="","",IFERROR(INDEX('Cadastro Mestre'!$Q$5:$Q$504,MATCH(C1041,'Cadastro Mestre'!$A$5:$A$504,0)),""))</f>
        <v/>
      </c>
      <c r="F1041" s="21"/>
      <c r="G1041" s="21"/>
      <c r="H1041" s="21"/>
      <c r="I1041" s="21"/>
    </row>
    <row r="1042" customFormat="false" ht="15" hidden="false" customHeight="false" outlineLevel="0" collapsed="false">
      <c r="A1042" s="25"/>
      <c r="B1042" s="21"/>
      <c r="C1042" s="21"/>
      <c r="D1042" s="26" t="str">
        <f aca="false">IF(C1042="","",IFERROR(INDEX('Cadastro Mestre'!$C$5:$C$504,MATCH(C1042,'Cadastro Mestre'!$A$5:$A$504,0)),"código não encontrado"))</f>
        <v/>
      </c>
      <c r="E1042" s="24" t="str">
        <f aca="false">IF(C1042="","",IFERROR(INDEX('Cadastro Mestre'!$Q$5:$Q$504,MATCH(C1042,'Cadastro Mestre'!$A$5:$A$504,0)),""))</f>
        <v/>
      </c>
      <c r="F1042" s="21"/>
      <c r="G1042" s="21"/>
      <c r="H1042" s="21"/>
      <c r="I1042" s="21"/>
    </row>
    <row r="1043" customFormat="false" ht="15" hidden="false" customHeight="false" outlineLevel="0" collapsed="false">
      <c r="A1043" s="25"/>
      <c r="B1043" s="21"/>
      <c r="C1043" s="21"/>
      <c r="D1043" s="26" t="str">
        <f aca="false">IF(C1043="","",IFERROR(INDEX('Cadastro Mestre'!$C$5:$C$504,MATCH(C1043,'Cadastro Mestre'!$A$5:$A$504,0)),"código não encontrado"))</f>
        <v/>
      </c>
      <c r="E1043" s="24" t="str">
        <f aca="false">IF(C1043="","",IFERROR(INDEX('Cadastro Mestre'!$Q$5:$Q$504,MATCH(C1043,'Cadastro Mestre'!$A$5:$A$504,0)),""))</f>
        <v/>
      </c>
      <c r="F1043" s="21"/>
      <c r="G1043" s="21"/>
      <c r="H1043" s="21"/>
      <c r="I1043" s="21"/>
    </row>
    <row r="1044" customFormat="false" ht="15" hidden="false" customHeight="false" outlineLevel="0" collapsed="false">
      <c r="A1044" s="25"/>
      <c r="B1044" s="21"/>
      <c r="C1044" s="21"/>
      <c r="D1044" s="26" t="str">
        <f aca="false">IF(C1044="","",IFERROR(INDEX('Cadastro Mestre'!$C$5:$C$504,MATCH(C1044,'Cadastro Mestre'!$A$5:$A$504,0)),"código não encontrado"))</f>
        <v/>
      </c>
      <c r="E1044" s="24" t="str">
        <f aca="false">IF(C1044="","",IFERROR(INDEX('Cadastro Mestre'!$Q$5:$Q$504,MATCH(C1044,'Cadastro Mestre'!$A$5:$A$504,0)),""))</f>
        <v/>
      </c>
      <c r="F1044" s="21"/>
      <c r="G1044" s="21"/>
      <c r="H1044" s="21"/>
      <c r="I1044" s="21"/>
    </row>
    <row r="1045" customFormat="false" ht="15" hidden="false" customHeight="false" outlineLevel="0" collapsed="false">
      <c r="A1045" s="25"/>
      <c r="B1045" s="21"/>
      <c r="C1045" s="21"/>
      <c r="D1045" s="26" t="str">
        <f aca="false">IF(C1045="","",IFERROR(INDEX('Cadastro Mestre'!$C$5:$C$504,MATCH(C1045,'Cadastro Mestre'!$A$5:$A$504,0)),"código não encontrado"))</f>
        <v/>
      </c>
      <c r="E1045" s="24" t="str">
        <f aca="false">IF(C1045="","",IFERROR(INDEX('Cadastro Mestre'!$Q$5:$Q$504,MATCH(C1045,'Cadastro Mestre'!$A$5:$A$504,0)),""))</f>
        <v/>
      </c>
      <c r="F1045" s="21"/>
      <c r="G1045" s="21"/>
      <c r="H1045" s="21"/>
      <c r="I1045" s="21"/>
    </row>
    <row r="1046" customFormat="false" ht="15" hidden="false" customHeight="false" outlineLevel="0" collapsed="false">
      <c r="A1046" s="25"/>
      <c r="B1046" s="21"/>
      <c r="C1046" s="21"/>
      <c r="D1046" s="26" t="str">
        <f aca="false">IF(C1046="","",IFERROR(INDEX('Cadastro Mestre'!$C$5:$C$504,MATCH(C1046,'Cadastro Mestre'!$A$5:$A$504,0)),"código não encontrado"))</f>
        <v/>
      </c>
      <c r="E1046" s="24" t="str">
        <f aca="false">IF(C1046="","",IFERROR(INDEX('Cadastro Mestre'!$Q$5:$Q$504,MATCH(C1046,'Cadastro Mestre'!$A$5:$A$504,0)),""))</f>
        <v/>
      </c>
      <c r="F1046" s="21"/>
      <c r="G1046" s="21"/>
      <c r="H1046" s="21"/>
      <c r="I1046" s="21"/>
    </row>
    <row r="1047" customFormat="false" ht="15" hidden="false" customHeight="false" outlineLevel="0" collapsed="false">
      <c r="A1047" s="25"/>
      <c r="B1047" s="21"/>
      <c r="C1047" s="21"/>
      <c r="D1047" s="26" t="str">
        <f aca="false">IF(C1047="","",IFERROR(INDEX('Cadastro Mestre'!$C$5:$C$504,MATCH(C1047,'Cadastro Mestre'!$A$5:$A$504,0)),"código não encontrado"))</f>
        <v/>
      </c>
      <c r="E1047" s="24" t="str">
        <f aca="false">IF(C1047="","",IFERROR(INDEX('Cadastro Mestre'!$Q$5:$Q$504,MATCH(C1047,'Cadastro Mestre'!$A$5:$A$504,0)),""))</f>
        <v/>
      </c>
      <c r="F1047" s="21"/>
      <c r="G1047" s="21"/>
      <c r="H1047" s="21"/>
      <c r="I1047" s="21"/>
    </row>
    <row r="1048" customFormat="false" ht="15" hidden="false" customHeight="false" outlineLevel="0" collapsed="false">
      <c r="A1048" s="25"/>
      <c r="B1048" s="21"/>
      <c r="C1048" s="21"/>
      <c r="D1048" s="26" t="str">
        <f aca="false">IF(C1048="","",IFERROR(INDEX('Cadastro Mestre'!$C$5:$C$504,MATCH(C1048,'Cadastro Mestre'!$A$5:$A$504,0)),"código não encontrado"))</f>
        <v/>
      </c>
      <c r="E1048" s="24" t="str">
        <f aca="false">IF(C1048="","",IFERROR(INDEX('Cadastro Mestre'!$Q$5:$Q$504,MATCH(C1048,'Cadastro Mestre'!$A$5:$A$504,0)),""))</f>
        <v/>
      </c>
      <c r="F1048" s="21"/>
      <c r="G1048" s="21"/>
      <c r="H1048" s="21"/>
      <c r="I1048" s="21"/>
    </row>
    <row r="1049" customFormat="false" ht="15" hidden="false" customHeight="false" outlineLevel="0" collapsed="false">
      <c r="A1049" s="25"/>
      <c r="B1049" s="21"/>
      <c r="C1049" s="21"/>
      <c r="D1049" s="26" t="str">
        <f aca="false">IF(C1049="","",IFERROR(INDEX('Cadastro Mestre'!$C$5:$C$504,MATCH(C1049,'Cadastro Mestre'!$A$5:$A$504,0)),"código não encontrado"))</f>
        <v/>
      </c>
      <c r="E1049" s="24" t="str">
        <f aca="false">IF(C1049="","",IFERROR(INDEX('Cadastro Mestre'!$Q$5:$Q$504,MATCH(C1049,'Cadastro Mestre'!$A$5:$A$504,0)),""))</f>
        <v/>
      </c>
      <c r="F1049" s="21"/>
      <c r="G1049" s="21"/>
      <c r="H1049" s="21"/>
      <c r="I1049" s="21"/>
    </row>
    <row r="1050" customFormat="false" ht="15" hidden="false" customHeight="false" outlineLevel="0" collapsed="false">
      <c r="A1050" s="25"/>
      <c r="B1050" s="21"/>
      <c r="C1050" s="21"/>
      <c r="D1050" s="26" t="str">
        <f aca="false">IF(C1050="","",IFERROR(INDEX('Cadastro Mestre'!$C$5:$C$504,MATCH(C1050,'Cadastro Mestre'!$A$5:$A$504,0)),"código não encontrado"))</f>
        <v/>
      </c>
      <c r="E1050" s="24" t="str">
        <f aca="false">IF(C1050="","",IFERROR(INDEX('Cadastro Mestre'!$Q$5:$Q$504,MATCH(C1050,'Cadastro Mestre'!$A$5:$A$504,0)),""))</f>
        <v/>
      </c>
      <c r="F1050" s="21"/>
      <c r="G1050" s="21"/>
      <c r="H1050" s="21"/>
      <c r="I1050" s="21"/>
    </row>
    <row r="1051" customFormat="false" ht="15" hidden="false" customHeight="false" outlineLevel="0" collapsed="false">
      <c r="A1051" s="25"/>
      <c r="B1051" s="21"/>
      <c r="C1051" s="21"/>
      <c r="D1051" s="26" t="str">
        <f aca="false">IF(C1051="","",IFERROR(INDEX('Cadastro Mestre'!$C$5:$C$504,MATCH(C1051,'Cadastro Mestre'!$A$5:$A$504,0)),"código não encontrado"))</f>
        <v/>
      </c>
      <c r="E1051" s="24" t="str">
        <f aca="false">IF(C1051="","",IFERROR(INDEX('Cadastro Mestre'!$Q$5:$Q$504,MATCH(C1051,'Cadastro Mestre'!$A$5:$A$504,0)),""))</f>
        <v/>
      </c>
      <c r="F1051" s="21"/>
      <c r="G1051" s="21"/>
      <c r="H1051" s="21"/>
      <c r="I1051" s="21"/>
    </row>
    <row r="1052" customFormat="false" ht="15" hidden="false" customHeight="false" outlineLevel="0" collapsed="false">
      <c r="A1052" s="25"/>
      <c r="B1052" s="21"/>
      <c r="C1052" s="21"/>
      <c r="D1052" s="26" t="str">
        <f aca="false">IF(C1052="","",IFERROR(INDEX('Cadastro Mestre'!$C$5:$C$504,MATCH(C1052,'Cadastro Mestre'!$A$5:$A$504,0)),"código não encontrado"))</f>
        <v/>
      </c>
      <c r="E1052" s="24" t="str">
        <f aca="false">IF(C1052="","",IFERROR(INDEX('Cadastro Mestre'!$Q$5:$Q$504,MATCH(C1052,'Cadastro Mestre'!$A$5:$A$504,0)),""))</f>
        <v/>
      </c>
      <c r="F1052" s="21"/>
      <c r="G1052" s="21"/>
      <c r="H1052" s="21"/>
      <c r="I1052" s="21"/>
    </row>
    <row r="1053" customFormat="false" ht="15" hidden="false" customHeight="false" outlineLevel="0" collapsed="false">
      <c r="A1053" s="25"/>
      <c r="B1053" s="21"/>
      <c r="C1053" s="21"/>
      <c r="D1053" s="26" t="str">
        <f aca="false">IF(C1053="","",IFERROR(INDEX('Cadastro Mestre'!$C$5:$C$504,MATCH(C1053,'Cadastro Mestre'!$A$5:$A$504,0)),"código não encontrado"))</f>
        <v/>
      </c>
      <c r="E1053" s="24" t="str">
        <f aca="false">IF(C1053="","",IFERROR(INDEX('Cadastro Mestre'!$Q$5:$Q$504,MATCH(C1053,'Cadastro Mestre'!$A$5:$A$504,0)),""))</f>
        <v/>
      </c>
      <c r="F1053" s="21"/>
      <c r="G1053" s="21"/>
      <c r="H1053" s="21"/>
      <c r="I1053" s="21"/>
    </row>
    <row r="1054" customFormat="false" ht="15" hidden="false" customHeight="false" outlineLevel="0" collapsed="false">
      <c r="A1054" s="25"/>
      <c r="B1054" s="21"/>
      <c r="C1054" s="21"/>
      <c r="D1054" s="26" t="str">
        <f aca="false">IF(C1054="","",IFERROR(INDEX('Cadastro Mestre'!$C$5:$C$504,MATCH(C1054,'Cadastro Mestre'!$A$5:$A$504,0)),"código não encontrado"))</f>
        <v/>
      </c>
      <c r="E1054" s="24" t="str">
        <f aca="false">IF(C1054="","",IFERROR(INDEX('Cadastro Mestre'!$Q$5:$Q$504,MATCH(C1054,'Cadastro Mestre'!$A$5:$A$504,0)),""))</f>
        <v/>
      </c>
      <c r="F1054" s="21"/>
      <c r="G1054" s="21"/>
      <c r="H1054" s="21"/>
      <c r="I1054" s="21"/>
    </row>
    <row r="1055" customFormat="false" ht="15" hidden="false" customHeight="false" outlineLevel="0" collapsed="false">
      <c r="A1055" s="25"/>
      <c r="B1055" s="21"/>
      <c r="C1055" s="21"/>
      <c r="D1055" s="26" t="str">
        <f aca="false">IF(C1055="","",IFERROR(INDEX('Cadastro Mestre'!$C$5:$C$504,MATCH(C1055,'Cadastro Mestre'!$A$5:$A$504,0)),"código não encontrado"))</f>
        <v/>
      </c>
      <c r="E1055" s="24" t="str">
        <f aca="false">IF(C1055="","",IFERROR(INDEX('Cadastro Mestre'!$Q$5:$Q$504,MATCH(C1055,'Cadastro Mestre'!$A$5:$A$504,0)),""))</f>
        <v/>
      </c>
      <c r="F1055" s="21"/>
      <c r="G1055" s="21"/>
      <c r="H1055" s="21"/>
      <c r="I1055" s="21"/>
    </row>
    <row r="1056" customFormat="false" ht="15" hidden="false" customHeight="false" outlineLevel="0" collapsed="false">
      <c r="A1056" s="25"/>
      <c r="B1056" s="21"/>
      <c r="C1056" s="21"/>
      <c r="D1056" s="26" t="str">
        <f aca="false">IF(C1056="","",IFERROR(INDEX('Cadastro Mestre'!$C$5:$C$504,MATCH(C1056,'Cadastro Mestre'!$A$5:$A$504,0)),"código não encontrado"))</f>
        <v/>
      </c>
      <c r="E1056" s="24" t="str">
        <f aca="false">IF(C1056="","",IFERROR(INDEX('Cadastro Mestre'!$Q$5:$Q$504,MATCH(C1056,'Cadastro Mestre'!$A$5:$A$504,0)),""))</f>
        <v/>
      </c>
      <c r="F1056" s="21"/>
      <c r="G1056" s="21"/>
      <c r="H1056" s="21"/>
      <c r="I1056" s="21"/>
    </row>
    <row r="1057" customFormat="false" ht="15" hidden="false" customHeight="false" outlineLevel="0" collapsed="false">
      <c r="A1057" s="25"/>
      <c r="B1057" s="21"/>
      <c r="C1057" s="21"/>
      <c r="D1057" s="26" t="str">
        <f aca="false">IF(C1057="","",IFERROR(INDEX('Cadastro Mestre'!$C$5:$C$504,MATCH(C1057,'Cadastro Mestre'!$A$5:$A$504,0)),"código não encontrado"))</f>
        <v/>
      </c>
      <c r="E1057" s="24" t="str">
        <f aca="false">IF(C1057="","",IFERROR(INDEX('Cadastro Mestre'!$Q$5:$Q$504,MATCH(C1057,'Cadastro Mestre'!$A$5:$A$504,0)),""))</f>
        <v/>
      </c>
      <c r="F1057" s="21"/>
      <c r="G1057" s="21"/>
      <c r="H1057" s="21"/>
      <c r="I1057" s="21"/>
    </row>
    <row r="1058" customFormat="false" ht="15" hidden="false" customHeight="false" outlineLevel="0" collapsed="false">
      <c r="A1058" s="25"/>
      <c r="B1058" s="21"/>
      <c r="C1058" s="21"/>
      <c r="D1058" s="26" t="str">
        <f aca="false">IF(C1058="","",IFERROR(INDEX('Cadastro Mestre'!$C$5:$C$504,MATCH(C1058,'Cadastro Mestre'!$A$5:$A$504,0)),"código não encontrado"))</f>
        <v/>
      </c>
      <c r="E1058" s="24" t="str">
        <f aca="false">IF(C1058="","",IFERROR(INDEX('Cadastro Mestre'!$Q$5:$Q$504,MATCH(C1058,'Cadastro Mestre'!$A$5:$A$504,0)),""))</f>
        <v/>
      </c>
      <c r="F1058" s="21"/>
      <c r="G1058" s="21"/>
      <c r="H1058" s="21"/>
      <c r="I1058" s="21"/>
    </row>
    <row r="1059" customFormat="false" ht="15" hidden="false" customHeight="false" outlineLevel="0" collapsed="false">
      <c r="A1059" s="25"/>
      <c r="B1059" s="21"/>
      <c r="C1059" s="21"/>
      <c r="D1059" s="26" t="str">
        <f aca="false">IF(C1059="","",IFERROR(INDEX('Cadastro Mestre'!$C$5:$C$504,MATCH(C1059,'Cadastro Mestre'!$A$5:$A$504,0)),"código não encontrado"))</f>
        <v/>
      </c>
      <c r="E1059" s="24" t="str">
        <f aca="false">IF(C1059="","",IFERROR(INDEX('Cadastro Mestre'!$Q$5:$Q$504,MATCH(C1059,'Cadastro Mestre'!$A$5:$A$504,0)),""))</f>
        <v/>
      </c>
      <c r="F1059" s="21"/>
      <c r="G1059" s="21"/>
      <c r="H1059" s="21"/>
      <c r="I1059" s="21"/>
    </row>
    <row r="1060" customFormat="false" ht="15" hidden="false" customHeight="false" outlineLevel="0" collapsed="false">
      <c r="A1060" s="25"/>
      <c r="B1060" s="21"/>
      <c r="C1060" s="21"/>
      <c r="D1060" s="26" t="str">
        <f aca="false">IF(C1060="","",IFERROR(INDEX('Cadastro Mestre'!$C$5:$C$504,MATCH(C1060,'Cadastro Mestre'!$A$5:$A$504,0)),"código não encontrado"))</f>
        <v/>
      </c>
      <c r="E1060" s="24" t="str">
        <f aca="false">IF(C1060="","",IFERROR(INDEX('Cadastro Mestre'!$Q$5:$Q$504,MATCH(C1060,'Cadastro Mestre'!$A$5:$A$504,0)),""))</f>
        <v/>
      </c>
      <c r="F1060" s="21"/>
      <c r="G1060" s="21"/>
      <c r="H1060" s="21"/>
      <c r="I1060" s="21"/>
    </row>
    <row r="1061" customFormat="false" ht="15" hidden="false" customHeight="false" outlineLevel="0" collapsed="false">
      <c r="A1061" s="25"/>
      <c r="B1061" s="21"/>
      <c r="C1061" s="21"/>
      <c r="D1061" s="26" t="str">
        <f aca="false">IF(C1061="","",IFERROR(INDEX('Cadastro Mestre'!$C$5:$C$504,MATCH(C1061,'Cadastro Mestre'!$A$5:$A$504,0)),"código não encontrado"))</f>
        <v/>
      </c>
      <c r="E1061" s="24" t="str">
        <f aca="false">IF(C1061="","",IFERROR(INDEX('Cadastro Mestre'!$Q$5:$Q$504,MATCH(C1061,'Cadastro Mestre'!$A$5:$A$504,0)),""))</f>
        <v/>
      </c>
      <c r="F1061" s="21"/>
      <c r="G1061" s="21"/>
      <c r="H1061" s="21"/>
      <c r="I1061" s="21"/>
    </row>
    <row r="1062" customFormat="false" ht="15" hidden="false" customHeight="false" outlineLevel="0" collapsed="false">
      <c r="A1062" s="25"/>
      <c r="B1062" s="21"/>
      <c r="C1062" s="21"/>
      <c r="D1062" s="26" t="str">
        <f aca="false">IF(C1062="","",IFERROR(INDEX('Cadastro Mestre'!$C$5:$C$504,MATCH(C1062,'Cadastro Mestre'!$A$5:$A$504,0)),"código não encontrado"))</f>
        <v/>
      </c>
      <c r="E1062" s="24" t="str">
        <f aca="false">IF(C1062="","",IFERROR(INDEX('Cadastro Mestre'!$Q$5:$Q$504,MATCH(C1062,'Cadastro Mestre'!$A$5:$A$504,0)),""))</f>
        <v/>
      </c>
      <c r="F1062" s="21"/>
      <c r="G1062" s="21"/>
      <c r="H1062" s="21"/>
      <c r="I1062" s="21"/>
    </row>
    <row r="1063" customFormat="false" ht="15" hidden="false" customHeight="false" outlineLevel="0" collapsed="false">
      <c r="A1063" s="25"/>
      <c r="B1063" s="21"/>
      <c r="C1063" s="21"/>
      <c r="D1063" s="26" t="str">
        <f aca="false">IF(C1063="","",IFERROR(INDEX('Cadastro Mestre'!$C$5:$C$504,MATCH(C1063,'Cadastro Mestre'!$A$5:$A$504,0)),"código não encontrado"))</f>
        <v/>
      </c>
      <c r="E1063" s="24" t="str">
        <f aca="false">IF(C1063="","",IFERROR(INDEX('Cadastro Mestre'!$Q$5:$Q$504,MATCH(C1063,'Cadastro Mestre'!$A$5:$A$504,0)),""))</f>
        <v/>
      </c>
      <c r="F1063" s="21"/>
      <c r="G1063" s="21"/>
      <c r="H1063" s="21"/>
      <c r="I1063" s="21"/>
    </row>
    <row r="1064" customFormat="false" ht="15" hidden="false" customHeight="false" outlineLevel="0" collapsed="false">
      <c r="A1064" s="25"/>
      <c r="B1064" s="21"/>
      <c r="C1064" s="21"/>
      <c r="D1064" s="26" t="str">
        <f aca="false">IF(C1064="","",IFERROR(INDEX('Cadastro Mestre'!$C$5:$C$504,MATCH(C1064,'Cadastro Mestre'!$A$5:$A$504,0)),"código não encontrado"))</f>
        <v/>
      </c>
      <c r="E1064" s="24" t="str">
        <f aca="false">IF(C1064="","",IFERROR(INDEX('Cadastro Mestre'!$Q$5:$Q$504,MATCH(C1064,'Cadastro Mestre'!$A$5:$A$504,0)),""))</f>
        <v/>
      </c>
      <c r="F1064" s="21"/>
      <c r="G1064" s="21"/>
      <c r="H1064" s="21"/>
      <c r="I1064" s="21"/>
    </row>
    <row r="1065" customFormat="false" ht="15" hidden="false" customHeight="false" outlineLevel="0" collapsed="false">
      <c r="A1065" s="25"/>
      <c r="B1065" s="21"/>
      <c r="C1065" s="21"/>
      <c r="D1065" s="26" t="str">
        <f aca="false">IF(C1065="","",IFERROR(INDEX('Cadastro Mestre'!$C$5:$C$504,MATCH(C1065,'Cadastro Mestre'!$A$5:$A$504,0)),"código não encontrado"))</f>
        <v/>
      </c>
      <c r="E1065" s="24" t="str">
        <f aca="false">IF(C1065="","",IFERROR(INDEX('Cadastro Mestre'!$Q$5:$Q$504,MATCH(C1065,'Cadastro Mestre'!$A$5:$A$504,0)),""))</f>
        <v/>
      </c>
      <c r="F1065" s="21"/>
      <c r="G1065" s="21"/>
      <c r="H1065" s="21"/>
      <c r="I1065" s="21"/>
    </row>
    <row r="1066" customFormat="false" ht="15" hidden="false" customHeight="false" outlineLevel="0" collapsed="false">
      <c r="A1066" s="25"/>
      <c r="B1066" s="21"/>
      <c r="C1066" s="21"/>
      <c r="D1066" s="26" t="str">
        <f aca="false">IF(C1066="","",IFERROR(INDEX('Cadastro Mestre'!$C$5:$C$504,MATCH(C1066,'Cadastro Mestre'!$A$5:$A$504,0)),"código não encontrado"))</f>
        <v/>
      </c>
      <c r="E1066" s="24" t="str">
        <f aca="false">IF(C1066="","",IFERROR(INDEX('Cadastro Mestre'!$Q$5:$Q$504,MATCH(C1066,'Cadastro Mestre'!$A$5:$A$504,0)),""))</f>
        <v/>
      </c>
      <c r="F1066" s="21"/>
      <c r="G1066" s="21"/>
      <c r="H1066" s="21"/>
      <c r="I1066" s="21"/>
    </row>
    <row r="1067" customFormat="false" ht="15" hidden="false" customHeight="false" outlineLevel="0" collapsed="false">
      <c r="A1067" s="25"/>
      <c r="B1067" s="21"/>
      <c r="C1067" s="21"/>
      <c r="D1067" s="26" t="str">
        <f aca="false">IF(C1067="","",IFERROR(INDEX('Cadastro Mestre'!$C$5:$C$504,MATCH(C1067,'Cadastro Mestre'!$A$5:$A$504,0)),"código não encontrado"))</f>
        <v/>
      </c>
      <c r="E1067" s="24" t="str">
        <f aca="false">IF(C1067="","",IFERROR(INDEX('Cadastro Mestre'!$Q$5:$Q$504,MATCH(C1067,'Cadastro Mestre'!$A$5:$A$504,0)),""))</f>
        <v/>
      </c>
      <c r="F1067" s="21"/>
      <c r="G1067" s="21"/>
      <c r="H1067" s="21"/>
      <c r="I1067" s="21"/>
    </row>
    <row r="1068" customFormat="false" ht="15" hidden="false" customHeight="false" outlineLevel="0" collapsed="false">
      <c r="A1068" s="25"/>
      <c r="B1068" s="21"/>
      <c r="C1068" s="21"/>
      <c r="D1068" s="26" t="str">
        <f aca="false">IF(C1068="","",IFERROR(INDEX('Cadastro Mestre'!$C$5:$C$504,MATCH(C1068,'Cadastro Mestre'!$A$5:$A$504,0)),"código não encontrado"))</f>
        <v/>
      </c>
      <c r="E1068" s="24" t="str">
        <f aca="false">IF(C1068="","",IFERROR(INDEX('Cadastro Mestre'!$Q$5:$Q$504,MATCH(C1068,'Cadastro Mestre'!$A$5:$A$504,0)),""))</f>
        <v/>
      </c>
      <c r="F1068" s="21"/>
      <c r="G1068" s="21"/>
      <c r="H1068" s="21"/>
      <c r="I1068" s="21"/>
    </row>
    <row r="1069" customFormat="false" ht="15" hidden="false" customHeight="false" outlineLevel="0" collapsed="false">
      <c r="A1069" s="25"/>
      <c r="B1069" s="21"/>
      <c r="C1069" s="21"/>
      <c r="D1069" s="26" t="str">
        <f aca="false">IF(C1069="","",IFERROR(INDEX('Cadastro Mestre'!$C$5:$C$504,MATCH(C1069,'Cadastro Mestre'!$A$5:$A$504,0)),"código não encontrado"))</f>
        <v/>
      </c>
      <c r="E1069" s="24" t="str">
        <f aca="false">IF(C1069="","",IFERROR(INDEX('Cadastro Mestre'!$Q$5:$Q$504,MATCH(C1069,'Cadastro Mestre'!$A$5:$A$504,0)),""))</f>
        <v/>
      </c>
      <c r="F1069" s="21"/>
      <c r="G1069" s="21"/>
      <c r="H1069" s="21"/>
      <c r="I1069" s="21"/>
    </row>
    <row r="1070" customFormat="false" ht="15" hidden="false" customHeight="false" outlineLevel="0" collapsed="false">
      <c r="A1070" s="25"/>
      <c r="B1070" s="21"/>
      <c r="C1070" s="21"/>
      <c r="D1070" s="26" t="str">
        <f aca="false">IF(C1070="","",IFERROR(INDEX('Cadastro Mestre'!$C$5:$C$504,MATCH(C1070,'Cadastro Mestre'!$A$5:$A$504,0)),"código não encontrado"))</f>
        <v/>
      </c>
      <c r="E1070" s="24" t="str">
        <f aca="false">IF(C1070="","",IFERROR(INDEX('Cadastro Mestre'!$Q$5:$Q$504,MATCH(C1070,'Cadastro Mestre'!$A$5:$A$504,0)),""))</f>
        <v/>
      </c>
      <c r="F1070" s="21"/>
      <c r="G1070" s="21"/>
      <c r="H1070" s="21"/>
      <c r="I1070" s="21"/>
    </row>
    <row r="1071" customFormat="false" ht="15" hidden="false" customHeight="false" outlineLevel="0" collapsed="false">
      <c r="A1071" s="25"/>
      <c r="B1071" s="21"/>
      <c r="C1071" s="21"/>
      <c r="D1071" s="26" t="str">
        <f aca="false">IF(C1071="","",IFERROR(INDEX('Cadastro Mestre'!$C$5:$C$504,MATCH(C1071,'Cadastro Mestre'!$A$5:$A$504,0)),"código não encontrado"))</f>
        <v/>
      </c>
      <c r="E1071" s="24" t="str">
        <f aca="false">IF(C1071="","",IFERROR(INDEX('Cadastro Mestre'!$Q$5:$Q$504,MATCH(C1071,'Cadastro Mestre'!$A$5:$A$504,0)),""))</f>
        <v/>
      </c>
      <c r="F1071" s="21"/>
      <c r="G1071" s="21"/>
      <c r="H1071" s="21"/>
      <c r="I1071" s="21"/>
    </row>
    <row r="1072" customFormat="false" ht="15" hidden="false" customHeight="false" outlineLevel="0" collapsed="false">
      <c r="A1072" s="25"/>
      <c r="B1072" s="21"/>
      <c r="C1072" s="21"/>
      <c r="D1072" s="26" t="str">
        <f aca="false">IF(C1072="","",IFERROR(INDEX('Cadastro Mestre'!$C$5:$C$504,MATCH(C1072,'Cadastro Mestre'!$A$5:$A$504,0)),"código não encontrado"))</f>
        <v/>
      </c>
      <c r="E1072" s="24" t="str">
        <f aca="false">IF(C1072="","",IFERROR(INDEX('Cadastro Mestre'!$Q$5:$Q$504,MATCH(C1072,'Cadastro Mestre'!$A$5:$A$504,0)),""))</f>
        <v/>
      </c>
      <c r="F1072" s="21"/>
      <c r="G1072" s="21"/>
      <c r="H1072" s="21"/>
      <c r="I1072" s="21"/>
    </row>
    <row r="1073" customFormat="false" ht="15" hidden="false" customHeight="false" outlineLevel="0" collapsed="false">
      <c r="A1073" s="25"/>
      <c r="B1073" s="21"/>
      <c r="C1073" s="21"/>
      <c r="D1073" s="26" t="str">
        <f aca="false">IF(C1073="","",IFERROR(INDEX('Cadastro Mestre'!$C$5:$C$504,MATCH(C1073,'Cadastro Mestre'!$A$5:$A$504,0)),"código não encontrado"))</f>
        <v/>
      </c>
      <c r="E1073" s="24" t="str">
        <f aca="false">IF(C1073="","",IFERROR(INDEX('Cadastro Mestre'!$Q$5:$Q$504,MATCH(C1073,'Cadastro Mestre'!$A$5:$A$504,0)),""))</f>
        <v/>
      </c>
      <c r="F1073" s="21"/>
      <c r="G1073" s="21"/>
      <c r="H1073" s="21"/>
      <c r="I1073" s="21"/>
    </row>
    <row r="1074" customFormat="false" ht="15" hidden="false" customHeight="false" outlineLevel="0" collapsed="false">
      <c r="A1074" s="25"/>
      <c r="B1074" s="21"/>
      <c r="C1074" s="21"/>
      <c r="D1074" s="26" t="str">
        <f aca="false">IF(C1074="","",IFERROR(INDEX('Cadastro Mestre'!$C$5:$C$504,MATCH(C1074,'Cadastro Mestre'!$A$5:$A$504,0)),"código não encontrado"))</f>
        <v/>
      </c>
      <c r="E1074" s="24" t="str">
        <f aca="false">IF(C1074="","",IFERROR(INDEX('Cadastro Mestre'!$Q$5:$Q$504,MATCH(C1074,'Cadastro Mestre'!$A$5:$A$504,0)),""))</f>
        <v/>
      </c>
      <c r="F1074" s="21"/>
      <c r="G1074" s="21"/>
      <c r="H1074" s="21"/>
      <c r="I1074" s="21"/>
    </row>
    <row r="1075" customFormat="false" ht="15" hidden="false" customHeight="false" outlineLevel="0" collapsed="false">
      <c r="A1075" s="25"/>
      <c r="B1075" s="21"/>
      <c r="C1075" s="21"/>
      <c r="D1075" s="26" t="str">
        <f aca="false">IF(C1075="","",IFERROR(INDEX('Cadastro Mestre'!$C$5:$C$504,MATCH(C1075,'Cadastro Mestre'!$A$5:$A$504,0)),"código não encontrado"))</f>
        <v/>
      </c>
      <c r="E1075" s="24" t="str">
        <f aca="false">IF(C1075="","",IFERROR(INDEX('Cadastro Mestre'!$Q$5:$Q$504,MATCH(C1075,'Cadastro Mestre'!$A$5:$A$504,0)),""))</f>
        <v/>
      </c>
      <c r="F1075" s="21"/>
      <c r="G1075" s="21"/>
      <c r="H1075" s="21"/>
      <c r="I1075" s="21"/>
    </row>
    <row r="1076" customFormat="false" ht="15" hidden="false" customHeight="false" outlineLevel="0" collapsed="false">
      <c r="A1076" s="25"/>
      <c r="B1076" s="21"/>
      <c r="C1076" s="21"/>
      <c r="D1076" s="26" t="str">
        <f aca="false">IF(C1076="","",IFERROR(INDEX('Cadastro Mestre'!$C$5:$C$504,MATCH(C1076,'Cadastro Mestre'!$A$5:$A$504,0)),"código não encontrado"))</f>
        <v/>
      </c>
      <c r="E1076" s="24" t="str">
        <f aca="false">IF(C1076="","",IFERROR(INDEX('Cadastro Mestre'!$Q$5:$Q$504,MATCH(C1076,'Cadastro Mestre'!$A$5:$A$504,0)),""))</f>
        <v/>
      </c>
      <c r="F1076" s="21"/>
      <c r="G1076" s="21"/>
      <c r="H1076" s="21"/>
      <c r="I1076" s="21"/>
    </row>
    <row r="1077" customFormat="false" ht="15" hidden="false" customHeight="false" outlineLevel="0" collapsed="false">
      <c r="A1077" s="25"/>
      <c r="B1077" s="21"/>
      <c r="C1077" s="21"/>
      <c r="D1077" s="26" t="str">
        <f aca="false">IF(C1077="","",IFERROR(INDEX('Cadastro Mestre'!$C$5:$C$504,MATCH(C1077,'Cadastro Mestre'!$A$5:$A$504,0)),"código não encontrado"))</f>
        <v/>
      </c>
      <c r="E1077" s="24" t="str">
        <f aca="false">IF(C1077="","",IFERROR(INDEX('Cadastro Mestre'!$Q$5:$Q$504,MATCH(C1077,'Cadastro Mestre'!$A$5:$A$504,0)),""))</f>
        <v/>
      </c>
      <c r="F1077" s="21"/>
      <c r="G1077" s="21"/>
      <c r="H1077" s="21"/>
      <c r="I1077" s="21"/>
    </row>
    <row r="1078" customFormat="false" ht="15" hidden="false" customHeight="false" outlineLevel="0" collapsed="false">
      <c r="A1078" s="25"/>
      <c r="B1078" s="21"/>
      <c r="C1078" s="21"/>
      <c r="D1078" s="26" t="str">
        <f aca="false">IF(C1078="","",IFERROR(INDEX('Cadastro Mestre'!$C$5:$C$504,MATCH(C1078,'Cadastro Mestre'!$A$5:$A$504,0)),"código não encontrado"))</f>
        <v/>
      </c>
      <c r="E1078" s="24" t="str">
        <f aca="false">IF(C1078="","",IFERROR(INDEX('Cadastro Mestre'!$Q$5:$Q$504,MATCH(C1078,'Cadastro Mestre'!$A$5:$A$504,0)),""))</f>
        <v/>
      </c>
      <c r="F1078" s="21"/>
      <c r="G1078" s="21"/>
      <c r="H1078" s="21"/>
      <c r="I1078" s="21"/>
    </row>
    <row r="1079" customFormat="false" ht="15" hidden="false" customHeight="false" outlineLevel="0" collapsed="false">
      <c r="A1079" s="25"/>
      <c r="B1079" s="21"/>
      <c r="C1079" s="21"/>
      <c r="D1079" s="26" t="str">
        <f aca="false">IF(C1079="","",IFERROR(INDEX('Cadastro Mestre'!$C$5:$C$504,MATCH(C1079,'Cadastro Mestre'!$A$5:$A$504,0)),"código não encontrado"))</f>
        <v/>
      </c>
      <c r="E1079" s="24" t="str">
        <f aca="false">IF(C1079="","",IFERROR(INDEX('Cadastro Mestre'!$Q$5:$Q$504,MATCH(C1079,'Cadastro Mestre'!$A$5:$A$504,0)),""))</f>
        <v/>
      </c>
      <c r="F1079" s="21"/>
      <c r="G1079" s="21"/>
      <c r="H1079" s="21"/>
      <c r="I1079" s="21"/>
    </row>
    <row r="1080" customFormat="false" ht="15" hidden="false" customHeight="false" outlineLevel="0" collapsed="false">
      <c r="A1080" s="25"/>
      <c r="B1080" s="21"/>
      <c r="C1080" s="21"/>
      <c r="D1080" s="26" t="str">
        <f aca="false">IF(C1080="","",IFERROR(INDEX('Cadastro Mestre'!$C$5:$C$504,MATCH(C1080,'Cadastro Mestre'!$A$5:$A$504,0)),"código não encontrado"))</f>
        <v/>
      </c>
      <c r="E1080" s="24" t="str">
        <f aca="false">IF(C1080="","",IFERROR(INDEX('Cadastro Mestre'!$Q$5:$Q$504,MATCH(C1080,'Cadastro Mestre'!$A$5:$A$504,0)),""))</f>
        <v/>
      </c>
      <c r="F1080" s="21"/>
      <c r="G1080" s="21"/>
      <c r="H1080" s="21"/>
      <c r="I1080" s="21"/>
    </row>
    <row r="1081" customFormat="false" ht="15" hidden="false" customHeight="false" outlineLevel="0" collapsed="false">
      <c r="A1081" s="25"/>
      <c r="B1081" s="21"/>
      <c r="C1081" s="21"/>
      <c r="D1081" s="26" t="str">
        <f aca="false">IF(C1081="","",IFERROR(INDEX('Cadastro Mestre'!$C$5:$C$504,MATCH(C1081,'Cadastro Mestre'!$A$5:$A$504,0)),"código não encontrado"))</f>
        <v/>
      </c>
      <c r="E1081" s="24" t="str">
        <f aca="false">IF(C1081="","",IFERROR(INDEX('Cadastro Mestre'!$Q$5:$Q$504,MATCH(C1081,'Cadastro Mestre'!$A$5:$A$504,0)),""))</f>
        <v/>
      </c>
      <c r="F1081" s="21"/>
      <c r="G1081" s="21"/>
      <c r="H1081" s="21"/>
      <c r="I1081" s="21"/>
    </row>
    <row r="1082" customFormat="false" ht="15" hidden="false" customHeight="false" outlineLevel="0" collapsed="false">
      <c r="A1082" s="25"/>
      <c r="B1082" s="21"/>
      <c r="C1082" s="21"/>
      <c r="D1082" s="26" t="str">
        <f aca="false">IF(C1082="","",IFERROR(INDEX('Cadastro Mestre'!$C$5:$C$504,MATCH(C1082,'Cadastro Mestre'!$A$5:$A$504,0)),"código não encontrado"))</f>
        <v/>
      </c>
      <c r="E1082" s="24" t="str">
        <f aca="false">IF(C1082="","",IFERROR(INDEX('Cadastro Mestre'!$Q$5:$Q$504,MATCH(C1082,'Cadastro Mestre'!$A$5:$A$504,0)),""))</f>
        <v/>
      </c>
      <c r="F1082" s="21"/>
      <c r="G1082" s="21"/>
      <c r="H1082" s="21"/>
      <c r="I1082" s="21"/>
    </row>
    <row r="1083" customFormat="false" ht="15" hidden="false" customHeight="false" outlineLevel="0" collapsed="false">
      <c r="A1083" s="25"/>
      <c r="B1083" s="21"/>
      <c r="C1083" s="21"/>
      <c r="D1083" s="26" t="str">
        <f aca="false">IF(C1083="","",IFERROR(INDEX('Cadastro Mestre'!$C$5:$C$504,MATCH(C1083,'Cadastro Mestre'!$A$5:$A$504,0)),"código não encontrado"))</f>
        <v/>
      </c>
      <c r="E1083" s="24" t="str">
        <f aca="false">IF(C1083="","",IFERROR(INDEX('Cadastro Mestre'!$Q$5:$Q$504,MATCH(C1083,'Cadastro Mestre'!$A$5:$A$504,0)),""))</f>
        <v/>
      </c>
      <c r="F1083" s="21"/>
      <c r="G1083" s="21"/>
      <c r="H1083" s="21"/>
      <c r="I1083" s="21"/>
    </row>
    <row r="1084" customFormat="false" ht="15" hidden="false" customHeight="false" outlineLevel="0" collapsed="false">
      <c r="A1084" s="25"/>
      <c r="B1084" s="21"/>
      <c r="C1084" s="21"/>
      <c r="D1084" s="26" t="str">
        <f aca="false">IF(C1084="","",IFERROR(INDEX('Cadastro Mestre'!$C$5:$C$504,MATCH(C1084,'Cadastro Mestre'!$A$5:$A$504,0)),"código não encontrado"))</f>
        <v/>
      </c>
      <c r="E1084" s="24" t="str">
        <f aca="false">IF(C1084="","",IFERROR(INDEX('Cadastro Mestre'!$Q$5:$Q$504,MATCH(C1084,'Cadastro Mestre'!$A$5:$A$504,0)),""))</f>
        <v/>
      </c>
      <c r="F1084" s="21"/>
      <c r="G1084" s="21"/>
      <c r="H1084" s="21"/>
      <c r="I1084" s="21"/>
    </row>
    <row r="1085" customFormat="false" ht="15" hidden="false" customHeight="false" outlineLevel="0" collapsed="false">
      <c r="A1085" s="25"/>
      <c r="B1085" s="21"/>
      <c r="C1085" s="21"/>
      <c r="D1085" s="26" t="str">
        <f aca="false">IF(C1085="","",IFERROR(INDEX('Cadastro Mestre'!$C$5:$C$504,MATCH(C1085,'Cadastro Mestre'!$A$5:$A$504,0)),"código não encontrado"))</f>
        <v/>
      </c>
      <c r="E1085" s="24" t="str">
        <f aca="false">IF(C1085="","",IFERROR(INDEX('Cadastro Mestre'!$Q$5:$Q$504,MATCH(C1085,'Cadastro Mestre'!$A$5:$A$504,0)),""))</f>
        <v/>
      </c>
      <c r="F1085" s="21"/>
      <c r="G1085" s="21"/>
      <c r="H1085" s="21"/>
      <c r="I1085" s="21"/>
    </row>
    <row r="1086" customFormat="false" ht="15" hidden="false" customHeight="false" outlineLevel="0" collapsed="false">
      <c r="A1086" s="25"/>
      <c r="B1086" s="21"/>
      <c r="C1086" s="21"/>
      <c r="D1086" s="26" t="str">
        <f aca="false">IF(C1086="","",IFERROR(INDEX('Cadastro Mestre'!$C$5:$C$504,MATCH(C1086,'Cadastro Mestre'!$A$5:$A$504,0)),"código não encontrado"))</f>
        <v/>
      </c>
      <c r="E1086" s="24" t="str">
        <f aca="false">IF(C1086="","",IFERROR(INDEX('Cadastro Mestre'!$Q$5:$Q$504,MATCH(C1086,'Cadastro Mestre'!$A$5:$A$504,0)),""))</f>
        <v/>
      </c>
      <c r="F1086" s="21"/>
      <c r="G1086" s="21"/>
      <c r="H1086" s="21"/>
      <c r="I1086" s="21"/>
    </row>
    <row r="1087" customFormat="false" ht="15" hidden="false" customHeight="false" outlineLevel="0" collapsed="false">
      <c r="A1087" s="25"/>
      <c r="B1087" s="21"/>
      <c r="C1087" s="21"/>
      <c r="D1087" s="26" t="str">
        <f aca="false">IF(C1087="","",IFERROR(INDEX('Cadastro Mestre'!$C$5:$C$504,MATCH(C1087,'Cadastro Mestre'!$A$5:$A$504,0)),"código não encontrado"))</f>
        <v/>
      </c>
      <c r="E1087" s="24" t="str">
        <f aca="false">IF(C1087="","",IFERROR(INDEX('Cadastro Mestre'!$Q$5:$Q$504,MATCH(C1087,'Cadastro Mestre'!$A$5:$A$504,0)),""))</f>
        <v/>
      </c>
      <c r="F1087" s="21"/>
      <c r="G1087" s="21"/>
      <c r="H1087" s="21"/>
      <c r="I1087" s="21"/>
    </row>
    <row r="1088" customFormat="false" ht="15" hidden="false" customHeight="false" outlineLevel="0" collapsed="false">
      <c r="A1088" s="25"/>
      <c r="B1088" s="21"/>
      <c r="C1088" s="21"/>
      <c r="D1088" s="26" t="str">
        <f aca="false">IF(C1088="","",IFERROR(INDEX('Cadastro Mestre'!$C$5:$C$504,MATCH(C1088,'Cadastro Mestre'!$A$5:$A$504,0)),"código não encontrado"))</f>
        <v/>
      </c>
      <c r="E1088" s="24" t="str">
        <f aca="false">IF(C1088="","",IFERROR(INDEX('Cadastro Mestre'!$Q$5:$Q$504,MATCH(C1088,'Cadastro Mestre'!$A$5:$A$504,0)),""))</f>
        <v/>
      </c>
      <c r="F1088" s="21"/>
      <c r="G1088" s="21"/>
      <c r="H1088" s="21"/>
      <c r="I1088" s="21"/>
    </row>
    <row r="1089" customFormat="false" ht="15" hidden="false" customHeight="false" outlineLevel="0" collapsed="false">
      <c r="A1089" s="25"/>
      <c r="B1089" s="21"/>
      <c r="C1089" s="21"/>
      <c r="D1089" s="26" t="str">
        <f aca="false">IF(C1089="","",IFERROR(INDEX('Cadastro Mestre'!$C$5:$C$504,MATCH(C1089,'Cadastro Mestre'!$A$5:$A$504,0)),"código não encontrado"))</f>
        <v/>
      </c>
      <c r="E1089" s="24" t="str">
        <f aca="false">IF(C1089="","",IFERROR(INDEX('Cadastro Mestre'!$Q$5:$Q$504,MATCH(C1089,'Cadastro Mestre'!$A$5:$A$504,0)),""))</f>
        <v/>
      </c>
      <c r="F1089" s="21"/>
      <c r="G1089" s="21"/>
      <c r="H1089" s="21"/>
      <c r="I1089" s="21"/>
    </row>
    <row r="1090" customFormat="false" ht="15" hidden="false" customHeight="false" outlineLevel="0" collapsed="false">
      <c r="A1090" s="25"/>
      <c r="B1090" s="21"/>
      <c r="C1090" s="21"/>
      <c r="D1090" s="26" t="str">
        <f aca="false">IF(C1090="","",IFERROR(INDEX('Cadastro Mestre'!$C$5:$C$504,MATCH(C1090,'Cadastro Mestre'!$A$5:$A$504,0)),"código não encontrado"))</f>
        <v/>
      </c>
      <c r="E1090" s="24" t="str">
        <f aca="false">IF(C1090="","",IFERROR(INDEX('Cadastro Mestre'!$Q$5:$Q$504,MATCH(C1090,'Cadastro Mestre'!$A$5:$A$504,0)),""))</f>
        <v/>
      </c>
      <c r="F1090" s="21"/>
      <c r="G1090" s="21"/>
      <c r="H1090" s="21"/>
      <c r="I1090" s="21"/>
    </row>
    <row r="1091" customFormat="false" ht="15" hidden="false" customHeight="false" outlineLevel="0" collapsed="false">
      <c r="A1091" s="25"/>
      <c r="B1091" s="21"/>
      <c r="C1091" s="21"/>
      <c r="D1091" s="26" t="str">
        <f aca="false">IF(C1091="","",IFERROR(INDEX('Cadastro Mestre'!$C$5:$C$504,MATCH(C1091,'Cadastro Mestre'!$A$5:$A$504,0)),"código não encontrado"))</f>
        <v/>
      </c>
      <c r="E1091" s="24" t="str">
        <f aca="false">IF(C1091="","",IFERROR(INDEX('Cadastro Mestre'!$Q$5:$Q$504,MATCH(C1091,'Cadastro Mestre'!$A$5:$A$504,0)),""))</f>
        <v/>
      </c>
      <c r="F1091" s="21"/>
      <c r="G1091" s="21"/>
      <c r="H1091" s="21"/>
      <c r="I1091" s="21"/>
    </row>
    <row r="1092" customFormat="false" ht="15" hidden="false" customHeight="false" outlineLevel="0" collapsed="false">
      <c r="A1092" s="25"/>
      <c r="B1092" s="21"/>
      <c r="C1092" s="21"/>
      <c r="D1092" s="26" t="str">
        <f aca="false">IF(C1092="","",IFERROR(INDEX('Cadastro Mestre'!$C$5:$C$504,MATCH(C1092,'Cadastro Mestre'!$A$5:$A$504,0)),"código não encontrado"))</f>
        <v/>
      </c>
      <c r="E1092" s="24" t="str">
        <f aca="false">IF(C1092="","",IFERROR(INDEX('Cadastro Mestre'!$Q$5:$Q$504,MATCH(C1092,'Cadastro Mestre'!$A$5:$A$504,0)),""))</f>
        <v/>
      </c>
      <c r="F1092" s="21"/>
      <c r="G1092" s="21"/>
      <c r="H1092" s="21"/>
      <c r="I1092" s="21"/>
    </row>
    <row r="1093" customFormat="false" ht="15" hidden="false" customHeight="false" outlineLevel="0" collapsed="false">
      <c r="A1093" s="25"/>
      <c r="B1093" s="21"/>
      <c r="C1093" s="21"/>
      <c r="D1093" s="26" t="str">
        <f aca="false">IF(C1093="","",IFERROR(INDEX('Cadastro Mestre'!$C$5:$C$504,MATCH(C1093,'Cadastro Mestre'!$A$5:$A$504,0)),"código não encontrado"))</f>
        <v/>
      </c>
      <c r="E1093" s="24" t="str">
        <f aca="false">IF(C1093="","",IFERROR(INDEX('Cadastro Mestre'!$Q$5:$Q$504,MATCH(C1093,'Cadastro Mestre'!$A$5:$A$504,0)),""))</f>
        <v/>
      </c>
      <c r="F1093" s="21"/>
      <c r="G1093" s="21"/>
      <c r="H1093" s="21"/>
      <c r="I1093" s="21"/>
    </row>
    <row r="1094" customFormat="false" ht="15" hidden="false" customHeight="false" outlineLevel="0" collapsed="false">
      <c r="A1094" s="25"/>
      <c r="B1094" s="21"/>
      <c r="C1094" s="21"/>
      <c r="D1094" s="26" t="str">
        <f aca="false">IF(C1094="","",IFERROR(INDEX('Cadastro Mestre'!$C$5:$C$504,MATCH(C1094,'Cadastro Mestre'!$A$5:$A$504,0)),"código não encontrado"))</f>
        <v/>
      </c>
      <c r="E1094" s="24" t="str">
        <f aca="false">IF(C1094="","",IFERROR(INDEX('Cadastro Mestre'!$Q$5:$Q$504,MATCH(C1094,'Cadastro Mestre'!$A$5:$A$504,0)),""))</f>
        <v/>
      </c>
      <c r="F1094" s="21"/>
      <c r="G1094" s="21"/>
      <c r="H1094" s="21"/>
      <c r="I1094" s="21"/>
    </row>
    <row r="1095" customFormat="false" ht="15" hidden="false" customHeight="false" outlineLevel="0" collapsed="false">
      <c r="A1095" s="25"/>
      <c r="B1095" s="21"/>
      <c r="C1095" s="21"/>
      <c r="D1095" s="26" t="str">
        <f aca="false">IF(C1095="","",IFERROR(INDEX('Cadastro Mestre'!$C$5:$C$504,MATCH(C1095,'Cadastro Mestre'!$A$5:$A$504,0)),"código não encontrado"))</f>
        <v/>
      </c>
      <c r="E1095" s="24" t="str">
        <f aca="false">IF(C1095="","",IFERROR(INDEX('Cadastro Mestre'!$Q$5:$Q$504,MATCH(C1095,'Cadastro Mestre'!$A$5:$A$504,0)),""))</f>
        <v/>
      </c>
      <c r="F1095" s="21"/>
      <c r="G1095" s="21"/>
      <c r="H1095" s="21"/>
      <c r="I1095" s="21"/>
    </row>
    <row r="1096" customFormat="false" ht="15" hidden="false" customHeight="false" outlineLevel="0" collapsed="false">
      <c r="A1096" s="25"/>
      <c r="B1096" s="21"/>
      <c r="C1096" s="21"/>
      <c r="D1096" s="26" t="str">
        <f aca="false">IF(C1096="","",IFERROR(INDEX('Cadastro Mestre'!$C$5:$C$504,MATCH(C1096,'Cadastro Mestre'!$A$5:$A$504,0)),"código não encontrado"))</f>
        <v/>
      </c>
      <c r="E1096" s="24" t="str">
        <f aca="false">IF(C1096="","",IFERROR(INDEX('Cadastro Mestre'!$Q$5:$Q$504,MATCH(C1096,'Cadastro Mestre'!$A$5:$A$504,0)),""))</f>
        <v/>
      </c>
      <c r="F1096" s="21"/>
      <c r="G1096" s="21"/>
      <c r="H1096" s="21"/>
      <c r="I1096" s="21"/>
    </row>
    <row r="1097" customFormat="false" ht="15" hidden="false" customHeight="false" outlineLevel="0" collapsed="false">
      <c r="A1097" s="25"/>
      <c r="B1097" s="21"/>
      <c r="C1097" s="21"/>
      <c r="D1097" s="26" t="str">
        <f aca="false">IF(C1097="","",IFERROR(INDEX('Cadastro Mestre'!$C$5:$C$504,MATCH(C1097,'Cadastro Mestre'!$A$5:$A$504,0)),"código não encontrado"))</f>
        <v/>
      </c>
      <c r="E1097" s="24" t="str">
        <f aca="false">IF(C1097="","",IFERROR(INDEX('Cadastro Mestre'!$Q$5:$Q$504,MATCH(C1097,'Cadastro Mestre'!$A$5:$A$504,0)),""))</f>
        <v/>
      </c>
      <c r="F1097" s="21"/>
      <c r="G1097" s="21"/>
      <c r="H1097" s="21"/>
      <c r="I1097" s="21"/>
    </row>
    <row r="1098" customFormat="false" ht="15" hidden="false" customHeight="false" outlineLevel="0" collapsed="false">
      <c r="A1098" s="25"/>
      <c r="B1098" s="21"/>
      <c r="C1098" s="21"/>
      <c r="D1098" s="26" t="str">
        <f aca="false">IF(C1098="","",IFERROR(INDEX('Cadastro Mestre'!$C$5:$C$504,MATCH(C1098,'Cadastro Mestre'!$A$5:$A$504,0)),"código não encontrado"))</f>
        <v/>
      </c>
      <c r="E1098" s="24" t="str">
        <f aca="false">IF(C1098="","",IFERROR(INDEX('Cadastro Mestre'!$Q$5:$Q$504,MATCH(C1098,'Cadastro Mestre'!$A$5:$A$504,0)),""))</f>
        <v/>
      </c>
      <c r="F1098" s="21"/>
      <c r="G1098" s="21"/>
      <c r="H1098" s="21"/>
      <c r="I1098" s="21"/>
    </row>
    <row r="1099" customFormat="false" ht="15" hidden="false" customHeight="false" outlineLevel="0" collapsed="false">
      <c r="A1099" s="25"/>
      <c r="B1099" s="21"/>
      <c r="C1099" s="21"/>
      <c r="D1099" s="26" t="str">
        <f aca="false">IF(C1099="","",IFERROR(INDEX('Cadastro Mestre'!$C$5:$C$504,MATCH(C1099,'Cadastro Mestre'!$A$5:$A$504,0)),"código não encontrado"))</f>
        <v/>
      </c>
      <c r="E1099" s="24" t="str">
        <f aca="false">IF(C1099="","",IFERROR(INDEX('Cadastro Mestre'!$Q$5:$Q$504,MATCH(C1099,'Cadastro Mestre'!$A$5:$A$504,0)),""))</f>
        <v/>
      </c>
      <c r="F1099" s="21"/>
      <c r="G1099" s="21"/>
      <c r="H1099" s="21"/>
      <c r="I1099" s="21"/>
    </row>
    <row r="1100" customFormat="false" ht="15" hidden="false" customHeight="false" outlineLevel="0" collapsed="false">
      <c r="A1100" s="25"/>
      <c r="B1100" s="21"/>
      <c r="C1100" s="21"/>
      <c r="D1100" s="26" t="str">
        <f aca="false">IF(C1100="","",IFERROR(INDEX('Cadastro Mestre'!$C$5:$C$504,MATCH(C1100,'Cadastro Mestre'!$A$5:$A$504,0)),"código não encontrado"))</f>
        <v/>
      </c>
      <c r="E1100" s="24" t="str">
        <f aca="false">IF(C1100="","",IFERROR(INDEX('Cadastro Mestre'!$Q$5:$Q$504,MATCH(C1100,'Cadastro Mestre'!$A$5:$A$504,0)),""))</f>
        <v/>
      </c>
      <c r="F1100" s="21"/>
      <c r="G1100" s="21"/>
      <c r="H1100" s="21"/>
      <c r="I1100" s="21"/>
    </row>
    <row r="1101" customFormat="false" ht="15" hidden="false" customHeight="false" outlineLevel="0" collapsed="false">
      <c r="A1101" s="25"/>
      <c r="B1101" s="21"/>
      <c r="C1101" s="21"/>
      <c r="D1101" s="26" t="str">
        <f aca="false">IF(C1101="","",IFERROR(INDEX('Cadastro Mestre'!$C$5:$C$504,MATCH(C1101,'Cadastro Mestre'!$A$5:$A$504,0)),"código não encontrado"))</f>
        <v/>
      </c>
      <c r="E1101" s="24" t="str">
        <f aca="false">IF(C1101="","",IFERROR(INDEX('Cadastro Mestre'!$Q$5:$Q$504,MATCH(C1101,'Cadastro Mestre'!$A$5:$A$504,0)),""))</f>
        <v/>
      </c>
      <c r="F1101" s="21"/>
      <c r="G1101" s="21"/>
      <c r="H1101" s="21"/>
      <c r="I1101" s="21"/>
    </row>
    <row r="1102" customFormat="false" ht="15" hidden="false" customHeight="false" outlineLevel="0" collapsed="false">
      <c r="A1102" s="25"/>
      <c r="B1102" s="21"/>
      <c r="C1102" s="21"/>
      <c r="D1102" s="26" t="str">
        <f aca="false">IF(C1102="","",IFERROR(INDEX('Cadastro Mestre'!$C$5:$C$504,MATCH(C1102,'Cadastro Mestre'!$A$5:$A$504,0)),"código não encontrado"))</f>
        <v/>
      </c>
      <c r="E1102" s="24" t="str">
        <f aca="false">IF(C1102="","",IFERROR(INDEX('Cadastro Mestre'!$Q$5:$Q$504,MATCH(C1102,'Cadastro Mestre'!$A$5:$A$504,0)),""))</f>
        <v/>
      </c>
      <c r="F1102" s="21"/>
      <c r="G1102" s="21"/>
      <c r="H1102" s="21"/>
      <c r="I1102" s="21"/>
    </row>
    <row r="1103" customFormat="false" ht="15" hidden="false" customHeight="false" outlineLevel="0" collapsed="false">
      <c r="A1103" s="25"/>
      <c r="B1103" s="21"/>
      <c r="C1103" s="21"/>
      <c r="D1103" s="26" t="str">
        <f aca="false">IF(C1103="","",IFERROR(INDEX('Cadastro Mestre'!$C$5:$C$504,MATCH(C1103,'Cadastro Mestre'!$A$5:$A$504,0)),"código não encontrado"))</f>
        <v/>
      </c>
      <c r="E1103" s="24" t="str">
        <f aca="false">IF(C1103="","",IFERROR(INDEX('Cadastro Mestre'!$Q$5:$Q$504,MATCH(C1103,'Cadastro Mestre'!$A$5:$A$504,0)),""))</f>
        <v/>
      </c>
      <c r="F1103" s="21"/>
      <c r="G1103" s="21"/>
      <c r="H1103" s="21"/>
      <c r="I1103" s="21"/>
    </row>
    <row r="1104" customFormat="false" ht="15" hidden="false" customHeight="false" outlineLevel="0" collapsed="false">
      <c r="A1104" s="25"/>
      <c r="B1104" s="21"/>
      <c r="C1104" s="21"/>
      <c r="D1104" s="26" t="str">
        <f aca="false">IF(C1104="","",IFERROR(INDEX('Cadastro Mestre'!$C$5:$C$504,MATCH(C1104,'Cadastro Mestre'!$A$5:$A$504,0)),"código não encontrado"))</f>
        <v/>
      </c>
      <c r="E1104" s="24" t="str">
        <f aca="false">IF(C1104="","",IFERROR(INDEX('Cadastro Mestre'!$Q$5:$Q$504,MATCH(C1104,'Cadastro Mestre'!$A$5:$A$504,0)),""))</f>
        <v/>
      </c>
      <c r="F1104" s="21"/>
      <c r="G1104" s="21"/>
      <c r="H1104" s="21"/>
      <c r="I1104" s="21"/>
    </row>
    <row r="1105" customFormat="false" ht="15" hidden="false" customHeight="false" outlineLevel="0" collapsed="false">
      <c r="A1105" s="25"/>
      <c r="B1105" s="21"/>
      <c r="C1105" s="21"/>
      <c r="D1105" s="26" t="str">
        <f aca="false">IF(C1105="","",IFERROR(INDEX('Cadastro Mestre'!$C$5:$C$504,MATCH(C1105,'Cadastro Mestre'!$A$5:$A$504,0)),"código não encontrado"))</f>
        <v/>
      </c>
      <c r="E1105" s="24" t="str">
        <f aca="false">IF(C1105="","",IFERROR(INDEX('Cadastro Mestre'!$Q$5:$Q$504,MATCH(C1105,'Cadastro Mestre'!$A$5:$A$504,0)),""))</f>
        <v/>
      </c>
      <c r="F1105" s="21"/>
      <c r="G1105" s="21"/>
      <c r="H1105" s="21"/>
      <c r="I1105" s="21"/>
    </row>
    <row r="1106" customFormat="false" ht="15" hidden="false" customHeight="false" outlineLevel="0" collapsed="false">
      <c r="A1106" s="25"/>
      <c r="B1106" s="21"/>
      <c r="C1106" s="21"/>
      <c r="D1106" s="26" t="str">
        <f aca="false">IF(C1106="","",IFERROR(INDEX('Cadastro Mestre'!$C$5:$C$504,MATCH(C1106,'Cadastro Mestre'!$A$5:$A$504,0)),"código não encontrado"))</f>
        <v/>
      </c>
      <c r="E1106" s="24" t="str">
        <f aca="false">IF(C1106="","",IFERROR(INDEX('Cadastro Mestre'!$Q$5:$Q$504,MATCH(C1106,'Cadastro Mestre'!$A$5:$A$504,0)),""))</f>
        <v/>
      </c>
      <c r="F1106" s="21"/>
      <c r="G1106" s="21"/>
      <c r="H1106" s="21"/>
      <c r="I1106" s="21"/>
    </row>
    <row r="1107" customFormat="false" ht="15" hidden="false" customHeight="false" outlineLevel="0" collapsed="false">
      <c r="A1107" s="25"/>
      <c r="B1107" s="21"/>
      <c r="C1107" s="21"/>
      <c r="D1107" s="26" t="str">
        <f aca="false">IF(C1107="","",IFERROR(INDEX('Cadastro Mestre'!$C$5:$C$504,MATCH(C1107,'Cadastro Mestre'!$A$5:$A$504,0)),"código não encontrado"))</f>
        <v/>
      </c>
      <c r="E1107" s="24" t="str">
        <f aca="false">IF(C1107="","",IFERROR(INDEX('Cadastro Mestre'!$Q$5:$Q$504,MATCH(C1107,'Cadastro Mestre'!$A$5:$A$504,0)),""))</f>
        <v/>
      </c>
      <c r="F1107" s="21"/>
      <c r="G1107" s="21"/>
      <c r="H1107" s="21"/>
      <c r="I1107" s="21"/>
    </row>
    <row r="1108" customFormat="false" ht="15" hidden="false" customHeight="false" outlineLevel="0" collapsed="false">
      <c r="A1108" s="25"/>
      <c r="B1108" s="21"/>
      <c r="C1108" s="21"/>
      <c r="D1108" s="26" t="str">
        <f aca="false">IF(C1108="","",IFERROR(INDEX('Cadastro Mestre'!$C$5:$C$504,MATCH(C1108,'Cadastro Mestre'!$A$5:$A$504,0)),"código não encontrado"))</f>
        <v/>
      </c>
      <c r="E1108" s="24" t="str">
        <f aca="false">IF(C1108="","",IFERROR(INDEX('Cadastro Mestre'!$Q$5:$Q$504,MATCH(C1108,'Cadastro Mestre'!$A$5:$A$504,0)),""))</f>
        <v/>
      </c>
      <c r="F1108" s="21"/>
      <c r="G1108" s="21"/>
      <c r="H1108" s="21"/>
      <c r="I1108" s="21"/>
    </row>
    <row r="1109" customFormat="false" ht="15" hidden="false" customHeight="false" outlineLevel="0" collapsed="false">
      <c r="A1109" s="25"/>
      <c r="B1109" s="21"/>
      <c r="C1109" s="21"/>
      <c r="D1109" s="26" t="str">
        <f aca="false">IF(C1109="","",IFERROR(INDEX('Cadastro Mestre'!$C$5:$C$504,MATCH(C1109,'Cadastro Mestre'!$A$5:$A$504,0)),"código não encontrado"))</f>
        <v/>
      </c>
      <c r="E1109" s="24" t="str">
        <f aca="false">IF(C1109="","",IFERROR(INDEX('Cadastro Mestre'!$Q$5:$Q$504,MATCH(C1109,'Cadastro Mestre'!$A$5:$A$504,0)),""))</f>
        <v/>
      </c>
      <c r="F1109" s="21"/>
      <c r="G1109" s="21"/>
      <c r="H1109" s="21"/>
      <c r="I1109" s="21"/>
    </row>
    <row r="1110" customFormat="false" ht="15" hidden="false" customHeight="false" outlineLevel="0" collapsed="false">
      <c r="A1110" s="25"/>
      <c r="B1110" s="21"/>
      <c r="C1110" s="21"/>
      <c r="D1110" s="26" t="str">
        <f aca="false">IF(C1110="","",IFERROR(INDEX('Cadastro Mestre'!$C$5:$C$504,MATCH(C1110,'Cadastro Mestre'!$A$5:$A$504,0)),"código não encontrado"))</f>
        <v/>
      </c>
      <c r="E1110" s="24" t="str">
        <f aca="false">IF(C1110="","",IFERROR(INDEX('Cadastro Mestre'!$Q$5:$Q$504,MATCH(C1110,'Cadastro Mestre'!$A$5:$A$504,0)),""))</f>
        <v/>
      </c>
      <c r="F1110" s="21"/>
      <c r="G1110" s="21"/>
      <c r="H1110" s="21"/>
      <c r="I1110" s="21"/>
    </row>
    <row r="1111" customFormat="false" ht="15" hidden="false" customHeight="false" outlineLevel="0" collapsed="false">
      <c r="A1111" s="25"/>
      <c r="B1111" s="21"/>
      <c r="C1111" s="21"/>
      <c r="D1111" s="26" t="str">
        <f aca="false">IF(C1111="","",IFERROR(INDEX('Cadastro Mestre'!$C$5:$C$504,MATCH(C1111,'Cadastro Mestre'!$A$5:$A$504,0)),"código não encontrado"))</f>
        <v/>
      </c>
      <c r="E1111" s="24" t="str">
        <f aca="false">IF(C1111="","",IFERROR(INDEX('Cadastro Mestre'!$Q$5:$Q$504,MATCH(C1111,'Cadastro Mestre'!$A$5:$A$504,0)),""))</f>
        <v/>
      </c>
      <c r="F1111" s="21"/>
      <c r="G1111" s="21"/>
      <c r="H1111" s="21"/>
      <c r="I1111" s="21"/>
    </row>
    <row r="1112" customFormat="false" ht="15" hidden="false" customHeight="false" outlineLevel="0" collapsed="false">
      <c r="A1112" s="25"/>
      <c r="B1112" s="21"/>
      <c r="C1112" s="21"/>
      <c r="D1112" s="26" t="str">
        <f aca="false">IF(C1112="","",IFERROR(INDEX('Cadastro Mestre'!$C$5:$C$504,MATCH(C1112,'Cadastro Mestre'!$A$5:$A$504,0)),"código não encontrado"))</f>
        <v/>
      </c>
      <c r="E1112" s="24" t="str">
        <f aca="false">IF(C1112="","",IFERROR(INDEX('Cadastro Mestre'!$Q$5:$Q$504,MATCH(C1112,'Cadastro Mestre'!$A$5:$A$504,0)),""))</f>
        <v/>
      </c>
      <c r="F1112" s="21"/>
      <c r="G1112" s="21"/>
      <c r="H1112" s="21"/>
      <c r="I1112" s="21"/>
    </row>
    <row r="1113" customFormat="false" ht="15" hidden="false" customHeight="false" outlineLevel="0" collapsed="false">
      <c r="A1113" s="25"/>
      <c r="B1113" s="21"/>
      <c r="C1113" s="21"/>
      <c r="D1113" s="26" t="str">
        <f aca="false">IF(C1113="","",IFERROR(INDEX('Cadastro Mestre'!$C$5:$C$504,MATCH(C1113,'Cadastro Mestre'!$A$5:$A$504,0)),"código não encontrado"))</f>
        <v/>
      </c>
      <c r="E1113" s="24" t="str">
        <f aca="false">IF(C1113="","",IFERROR(INDEX('Cadastro Mestre'!$Q$5:$Q$504,MATCH(C1113,'Cadastro Mestre'!$A$5:$A$504,0)),""))</f>
        <v/>
      </c>
      <c r="F1113" s="21"/>
      <c r="G1113" s="21"/>
      <c r="H1113" s="21"/>
      <c r="I1113" s="21"/>
    </row>
    <row r="1114" customFormat="false" ht="15" hidden="false" customHeight="false" outlineLevel="0" collapsed="false">
      <c r="A1114" s="25"/>
      <c r="B1114" s="21"/>
      <c r="C1114" s="21"/>
      <c r="D1114" s="26" t="str">
        <f aca="false">IF(C1114="","",IFERROR(INDEX('Cadastro Mestre'!$C$5:$C$504,MATCH(C1114,'Cadastro Mestre'!$A$5:$A$504,0)),"código não encontrado"))</f>
        <v/>
      </c>
      <c r="E1114" s="24" t="str">
        <f aca="false">IF(C1114="","",IFERROR(INDEX('Cadastro Mestre'!$Q$5:$Q$504,MATCH(C1114,'Cadastro Mestre'!$A$5:$A$504,0)),""))</f>
        <v/>
      </c>
      <c r="F1114" s="21"/>
      <c r="G1114" s="21"/>
      <c r="H1114" s="21"/>
      <c r="I1114" s="21"/>
    </row>
    <row r="1115" customFormat="false" ht="15" hidden="false" customHeight="false" outlineLevel="0" collapsed="false">
      <c r="A1115" s="25"/>
      <c r="B1115" s="21"/>
      <c r="C1115" s="21"/>
      <c r="D1115" s="26" t="str">
        <f aca="false">IF(C1115="","",IFERROR(INDEX('Cadastro Mestre'!$C$5:$C$504,MATCH(C1115,'Cadastro Mestre'!$A$5:$A$504,0)),"código não encontrado"))</f>
        <v/>
      </c>
      <c r="E1115" s="24" t="str">
        <f aca="false">IF(C1115="","",IFERROR(INDEX('Cadastro Mestre'!$Q$5:$Q$504,MATCH(C1115,'Cadastro Mestre'!$A$5:$A$504,0)),""))</f>
        <v/>
      </c>
      <c r="F1115" s="21"/>
      <c r="G1115" s="21"/>
      <c r="H1115" s="21"/>
      <c r="I1115" s="21"/>
    </row>
    <row r="1116" customFormat="false" ht="15" hidden="false" customHeight="false" outlineLevel="0" collapsed="false">
      <c r="A1116" s="25"/>
      <c r="B1116" s="21"/>
      <c r="C1116" s="21"/>
      <c r="D1116" s="26" t="str">
        <f aca="false">IF(C1116="","",IFERROR(INDEX('Cadastro Mestre'!$C$5:$C$504,MATCH(C1116,'Cadastro Mestre'!$A$5:$A$504,0)),"código não encontrado"))</f>
        <v/>
      </c>
      <c r="E1116" s="24" t="str">
        <f aca="false">IF(C1116="","",IFERROR(INDEX('Cadastro Mestre'!$Q$5:$Q$504,MATCH(C1116,'Cadastro Mestre'!$A$5:$A$504,0)),""))</f>
        <v/>
      </c>
      <c r="F1116" s="21"/>
      <c r="G1116" s="21"/>
      <c r="H1116" s="21"/>
      <c r="I1116" s="21"/>
    </row>
    <row r="1117" customFormat="false" ht="15" hidden="false" customHeight="false" outlineLevel="0" collapsed="false">
      <c r="A1117" s="25"/>
      <c r="B1117" s="21"/>
      <c r="C1117" s="21"/>
      <c r="D1117" s="26" t="str">
        <f aca="false">IF(C1117="","",IFERROR(INDEX('Cadastro Mestre'!$C$5:$C$504,MATCH(C1117,'Cadastro Mestre'!$A$5:$A$504,0)),"código não encontrado"))</f>
        <v/>
      </c>
      <c r="E1117" s="24" t="str">
        <f aca="false">IF(C1117="","",IFERROR(INDEX('Cadastro Mestre'!$Q$5:$Q$504,MATCH(C1117,'Cadastro Mestre'!$A$5:$A$504,0)),""))</f>
        <v/>
      </c>
      <c r="F1117" s="21"/>
      <c r="G1117" s="21"/>
      <c r="H1117" s="21"/>
      <c r="I1117" s="21"/>
    </row>
    <row r="1118" customFormat="false" ht="15" hidden="false" customHeight="false" outlineLevel="0" collapsed="false">
      <c r="A1118" s="25"/>
      <c r="B1118" s="21"/>
      <c r="C1118" s="21"/>
      <c r="D1118" s="26" t="str">
        <f aca="false">IF(C1118="","",IFERROR(INDEX('Cadastro Mestre'!$C$5:$C$504,MATCH(C1118,'Cadastro Mestre'!$A$5:$A$504,0)),"código não encontrado"))</f>
        <v/>
      </c>
      <c r="E1118" s="24" t="str">
        <f aca="false">IF(C1118="","",IFERROR(INDEX('Cadastro Mestre'!$Q$5:$Q$504,MATCH(C1118,'Cadastro Mestre'!$A$5:$A$504,0)),""))</f>
        <v/>
      </c>
      <c r="F1118" s="21"/>
      <c r="G1118" s="21"/>
      <c r="H1118" s="21"/>
      <c r="I1118" s="21"/>
    </row>
    <row r="1119" customFormat="false" ht="15" hidden="false" customHeight="false" outlineLevel="0" collapsed="false">
      <c r="A1119" s="25"/>
      <c r="B1119" s="21"/>
      <c r="C1119" s="21"/>
      <c r="D1119" s="26" t="str">
        <f aca="false">IF(C1119="","",IFERROR(INDEX('Cadastro Mestre'!$C$5:$C$504,MATCH(C1119,'Cadastro Mestre'!$A$5:$A$504,0)),"código não encontrado"))</f>
        <v/>
      </c>
      <c r="E1119" s="24" t="str">
        <f aca="false">IF(C1119="","",IFERROR(INDEX('Cadastro Mestre'!$Q$5:$Q$504,MATCH(C1119,'Cadastro Mestre'!$A$5:$A$504,0)),""))</f>
        <v/>
      </c>
      <c r="F1119" s="21"/>
      <c r="G1119" s="21"/>
      <c r="H1119" s="21"/>
      <c r="I1119" s="21"/>
    </row>
    <row r="1120" customFormat="false" ht="15" hidden="false" customHeight="false" outlineLevel="0" collapsed="false">
      <c r="A1120" s="25"/>
      <c r="B1120" s="21"/>
      <c r="C1120" s="21"/>
      <c r="D1120" s="26" t="str">
        <f aca="false">IF(C1120="","",IFERROR(INDEX('Cadastro Mestre'!$C$5:$C$504,MATCH(C1120,'Cadastro Mestre'!$A$5:$A$504,0)),"código não encontrado"))</f>
        <v/>
      </c>
      <c r="E1120" s="24" t="str">
        <f aca="false">IF(C1120="","",IFERROR(INDEX('Cadastro Mestre'!$Q$5:$Q$504,MATCH(C1120,'Cadastro Mestre'!$A$5:$A$504,0)),""))</f>
        <v/>
      </c>
      <c r="F1120" s="21"/>
      <c r="G1120" s="21"/>
      <c r="H1120" s="21"/>
      <c r="I1120" s="21"/>
    </row>
    <row r="1121" customFormat="false" ht="15" hidden="false" customHeight="false" outlineLevel="0" collapsed="false">
      <c r="A1121" s="25"/>
      <c r="B1121" s="21"/>
      <c r="C1121" s="21"/>
      <c r="D1121" s="26" t="str">
        <f aca="false">IF(C1121="","",IFERROR(INDEX('Cadastro Mestre'!$C$5:$C$504,MATCH(C1121,'Cadastro Mestre'!$A$5:$A$504,0)),"código não encontrado"))</f>
        <v/>
      </c>
      <c r="E1121" s="24" t="str">
        <f aca="false">IF(C1121="","",IFERROR(INDEX('Cadastro Mestre'!$Q$5:$Q$504,MATCH(C1121,'Cadastro Mestre'!$A$5:$A$504,0)),""))</f>
        <v/>
      </c>
      <c r="F1121" s="21"/>
      <c r="G1121" s="21"/>
      <c r="H1121" s="21"/>
      <c r="I1121" s="21"/>
    </row>
    <row r="1122" customFormat="false" ht="15" hidden="false" customHeight="false" outlineLevel="0" collapsed="false">
      <c r="A1122" s="25"/>
      <c r="B1122" s="21"/>
      <c r="C1122" s="21"/>
      <c r="D1122" s="26" t="str">
        <f aca="false">IF(C1122="","",IFERROR(INDEX('Cadastro Mestre'!$C$5:$C$504,MATCH(C1122,'Cadastro Mestre'!$A$5:$A$504,0)),"código não encontrado"))</f>
        <v/>
      </c>
      <c r="E1122" s="24" t="str">
        <f aca="false">IF(C1122="","",IFERROR(INDEX('Cadastro Mestre'!$Q$5:$Q$504,MATCH(C1122,'Cadastro Mestre'!$A$5:$A$504,0)),""))</f>
        <v/>
      </c>
      <c r="F1122" s="21"/>
      <c r="G1122" s="21"/>
      <c r="H1122" s="21"/>
      <c r="I1122" s="21"/>
    </row>
    <row r="1123" customFormat="false" ht="15" hidden="false" customHeight="false" outlineLevel="0" collapsed="false">
      <c r="A1123" s="25"/>
      <c r="B1123" s="21"/>
      <c r="C1123" s="21"/>
      <c r="D1123" s="26" t="str">
        <f aca="false">IF(C1123="","",IFERROR(INDEX('Cadastro Mestre'!$C$5:$C$504,MATCH(C1123,'Cadastro Mestre'!$A$5:$A$504,0)),"código não encontrado"))</f>
        <v/>
      </c>
      <c r="E1123" s="24" t="str">
        <f aca="false">IF(C1123="","",IFERROR(INDEX('Cadastro Mestre'!$Q$5:$Q$504,MATCH(C1123,'Cadastro Mestre'!$A$5:$A$504,0)),""))</f>
        <v/>
      </c>
      <c r="F1123" s="21"/>
      <c r="G1123" s="21"/>
      <c r="H1123" s="21"/>
      <c r="I1123" s="21"/>
    </row>
    <row r="1124" customFormat="false" ht="15" hidden="false" customHeight="false" outlineLevel="0" collapsed="false">
      <c r="A1124" s="25"/>
      <c r="B1124" s="21"/>
      <c r="C1124" s="21"/>
      <c r="D1124" s="26" t="str">
        <f aca="false">IF(C1124="","",IFERROR(INDEX('Cadastro Mestre'!$C$5:$C$504,MATCH(C1124,'Cadastro Mestre'!$A$5:$A$504,0)),"código não encontrado"))</f>
        <v/>
      </c>
      <c r="E1124" s="24" t="str">
        <f aca="false">IF(C1124="","",IFERROR(INDEX('Cadastro Mestre'!$Q$5:$Q$504,MATCH(C1124,'Cadastro Mestre'!$A$5:$A$504,0)),""))</f>
        <v/>
      </c>
      <c r="F1124" s="21"/>
      <c r="G1124" s="21"/>
      <c r="H1124" s="21"/>
      <c r="I1124" s="21"/>
    </row>
    <row r="1125" customFormat="false" ht="15" hidden="false" customHeight="false" outlineLevel="0" collapsed="false">
      <c r="A1125" s="25"/>
      <c r="B1125" s="21"/>
      <c r="C1125" s="21"/>
      <c r="D1125" s="26" t="str">
        <f aca="false">IF(C1125="","",IFERROR(INDEX('Cadastro Mestre'!$C$5:$C$504,MATCH(C1125,'Cadastro Mestre'!$A$5:$A$504,0)),"código não encontrado"))</f>
        <v/>
      </c>
      <c r="E1125" s="24" t="str">
        <f aca="false">IF(C1125="","",IFERROR(INDEX('Cadastro Mestre'!$Q$5:$Q$504,MATCH(C1125,'Cadastro Mestre'!$A$5:$A$504,0)),""))</f>
        <v/>
      </c>
      <c r="F1125" s="21"/>
      <c r="G1125" s="21"/>
      <c r="H1125" s="21"/>
      <c r="I1125" s="21"/>
    </row>
    <row r="1126" customFormat="false" ht="15" hidden="false" customHeight="false" outlineLevel="0" collapsed="false">
      <c r="A1126" s="25"/>
      <c r="B1126" s="21"/>
      <c r="C1126" s="21"/>
      <c r="D1126" s="26" t="str">
        <f aca="false">IF(C1126="","",IFERROR(INDEX('Cadastro Mestre'!$C$5:$C$504,MATCH(C1126,'Cadastro Mestre'!$A$5:$A$504,0)),"código não encontrado"))</f>
        <v/>
      </c>
      <c r="E1126" s="24" t="str">
        <f aca="false">IF(C1126="","",IFERROR(INDEX('Cadastro Mestre'!$Q$5:$Q$504,MATCH(C1126,'Cadastro Mestre'!$A$5:$A$504,0)),""))</f>
        <v/>
      </c>
      <c r="F1126" s="21"/>
      <c r="G1126" s="21"/>
      <c r="H1126" s="21"/>
      <c r="I1126" s="21"/>
    </row>
    <row r="1127" customFormat="false" ht="15" hidden="false" customHeight="false" outlineLevel="0" collapsed="false">
      <c r="A1127" s="25"/>
      <c r="B1127" s="21"/>
      <c r="C1127" s="21"/>
      <c r="D1127" s="26" t="str">
        <f aca="false">IF(C1127="","",IFERROR(INDEX('Cadastro Mestre'!$C$5:$C$504,MATCH(C1127,'Cadastro Mestre'!$A$5:$A$504,0)),"código não encontrado"))</f>
        <v/>
      </c>
      <c r="E1127" s="24" t="str">
        <f aca="false">IF(C1127="","",IFERROR(INDEX('Cadastro Mestre'!$Q$5:$Q$504,MATCH(C1127,'Cadastro Mestre'!$A$5:$A$504,0)),""))</f>
        <v/>
      </c>
      <c r="F1127" s="21"/>
      <c r="G1127" s="21"/>
      <c r="H1127" s="21"/>
      <c r="I1127" s="21"/>
    </row>
    <row r="1128" customFormat="false" ht="15" hidden="false" customHeight="false" outlineLevel="0" collapsed="false">
      <c r="A1128" s="25"/>
      <c r="B1128" s="21"/>
      <c r="C1128" s="21"/>
      <c r="D1128" s="26" t="str">
        <f aca="false">IF(C1128="","",IFERROR(INDEX('Cadastro Mestre'!$C$5:$C$504,MATCH(C1128,'Cadastro Mestre'!$A$5:$A$504,0)),"código não encontrado"))</f>
        <v/>
      </c>
      <c r="E1128" s="24" t="str">
        <f aca="false">IF(C1128="","",IFERROR(INDEX('Cadastro Mestre'!$Q$5:$Q$504,MATCH(C1128,'Cadastro Mestre'!$A$5:$A$504,0)),""))</f>
        <v/>
      </c>
      <c r="F1128" s="21"/>
      <c r="G1128" s="21"/>
      <c r="H1128" s="21"/>
      <c r="I1128" s="21"/>
    </row>
    <row r="1129" customFormat="false" ht="15" hidden="false" customHeight="false" outlineLevel="0" collapsed="false">
      <c r="A1129" s="25"/>
      <c r="B1129" s="21"/>
      <c r="C1129" s="21"/>
      <c r="D1129" s="26" t="str">
        <f aca="false">IF(C1129="","",IFERROR(INDEX('Cadastro Mestre'!$C$5:$C$504,MATCH(C1129,'Cadastro Mestre'!$A$5:$A$504,0)),"código não encontrado"))</f>
        <v/>
      </c>
      <c r="E1129" s="24" t="str">
        <f aca="false">IF(C1129="","",IFERROR(INDEX('Cadastro Mestre'!$Q$5:$Q$504,MATCH(C1129,'Cadastro Mestre'!$A$5:$A$504,0)),""))</f>
        <v/>
      </c>
      <c r="F1129" s="21"/>
      <c r="G1129" s="21"/>
      <c r="H1129" s="21"/>
      <c r="I1129" s="21"/>
    </row>
    <row r="1130" customFormat="false" ht="15" hidden="false" customHeight="false" outlineLevel="0" collapsed="false">
      <c r="A1130" s="25"/>
      <c r="B1130" s="21"/>
      <c r="C1130" s="21"/>
      <c r="D1130" s="26" t="str">
        <f aca="false">IF(C1130="","",IFERROR(INDEX('Cadastro Mestre'!$C$5:$C$504,MATCH(C1130,'Cadastro Mestre'!$A$5:$A$504,0)),"código não encontrado"))</f>
        <v/>
      </c>
      <c r="E1130" s="24" t="str">
        <f aca="false">IF(C1130="","",IFERROR(INDEX('Cadastro Mestre'!$Q$5:$Q$504,MATCH(C1130,'Cadastro Mestre'!$A$5:$A$504,0)),""))</f>
        <v/>
      </c>
      <c r="F1130" s="21"/>
      <c r="G1130" s="21"/>
      <c r="H1130" s="21"/>
      <c r="I1130" s="21"/>
    </row>
    <row r="1131" customFormat="false" ht="15" hidden="false" customHeight="false" outlineLevel="0" collapsed="false">
      <c r="A1131" s="25"/>
      <c r="B1131" s="21"/>
      <c r="C1131" s="21"/>
      <c r="D1131" s="26" t="str">
        <f aca="false">IF(C1131="","",IFERROR(INDEX('Cadastro Mestre'!$C$5:$C$504,MATCH(C1131,'Cadastro Mestre'!$A$5:$A$504,0)),"código não encontrado"))</f>
        <v/>
      </c>
      <c r="E1131" s="24" t="str">
        <f aca="false">IF(C1131="","",IFERROR(INDEX('Cadastro Mestre'!$Q$5:$Q$504,MATCH(C1131,'Cadastro Mestre'!$A$5:$A$504,0)),""))</f>
        <v/>
      </c>
      <c r="F1131" s="21"/>
      <c r="G1131" s="21"/>
      <c r="H1131" s="21"/>
      <c r="I1131" s="21"/>
    </row>
    <row r="1132" customFormat="false" ht="15" hidden="false" customHeight="false" outlineLevel="0" collapsed="false">
      <c r="A1132" s="25"/>
      <c r="B1132" s="21"/>
      <c r="C1132" s="21"/>
      <c r="D1132" s="26" t="str">
        <f aca="false">IF(C1132="","",IFERROR(INDEX('Cadastro Mestre'!$C$5:$C$504,MATCH(C1132,'Cadastro Mestre'!$A$5:$A$504,0)),"código não encontrado"))</f>
        <v/>
      </c>
      <c r="E1132" s="24" t="str">
        <f aca="false">IF(C1132="","",IFERROR(INDEX('Cadastro Mestre'!$Q$5:$Q$504,MATCH(C1132,'Cadastro Mestre'!$A$5:$A$504,0)),""))</f>
        <v/>
      </c>
      <c r="F1132" s="21"/>
      <c r="G1132" s="21"/>
      <c r="H1132" s="21"/>
      <c r="I1132" s="21"/>
    </row>
    <row r="1133" customFormat="false" ht="15" hidden="false" customHeight="false" outlineLevel="0" collapsed="false">
      <c r="A1133" s="25"/>
      <c r="B1133" s="21"/>
      <c r="C1133" s="21"/>
      <c r="D1133" s="26" t="str">
        <f aca="false">IF(C1133="","",IFERROR(INDEX('Cadastro Mestre'!$C$5:$C$504,MATCH(C1133,'Cadastro Mestre'!$A$5:$A$504,0)),"código não encontrado"))</f>
        <v/>
      </c>
      <c r="E1133" s="24" t="str">
        <f aca="false">IF(C1133="","",IFERROR(INDEX('Cadastro Mestre'!$Q$5:$Q$504,MATCH(C1133,'Cadastro Mestre'!$A$5:$A$504,0)),""))</f>
        <v/>
      </c>
      <c r="F1133" s="21"/>
      <c r="G1133" s="21"/>
      <c r="H1133" s="21"/>
      <c r="I1133" s="21"/>
    </row>
    <row r="1134" customFormat="false" ht="15" hidden="false" customHeight="false" outlineLevel="0" collapsed="false">
      <c r="A1134" s="25"/>
      <c r="B1134" s="21"/>
      <c r="C1134" s="21"/>
      <c r="D1134" s="26" t="str">
        <f aca="false">IF(C1134="","",IFERROR(INDEX('Cadastro Mestre'!$C$5:$C$504,MATCH(C1134,'Cadastro Mestre'!$A$5:$A$504,0)),"código não encontrado"))</f>
        <v/>
      </c>
      <c r="E1134" s="24" t="str">
        <f aca="false">IF(C1134="","",IFERROR(INDEX('Cadastro Mestre'!$Q$5:$Q$504,MATCH(C1134,'Cadastro Mestre'!$A$5:$A$504,0)),""))</f>
        <v/>
      </c>
      <c r="F1134" s="21"/>
      <c r="G1134" s="21"/>
      <c r="H1134" s="21"/>
      <c r="I1134" s="21"/>
    </row>
    <row r="1135" customFormat="false" ht="15" hidden="false" customHeight="false" outlineLevel="0" collapsed="false">
      <c r="A1135" s="25"/>
      <c r="B1135" s="21"/>
      <c r="C1135" s="21"/>
      <c r="D1135" s="26" t="str">
        <f aca="false">IF(C1135="","",IFERROR(INDEX('Cadastro Mestre'!$C$5:$C$504,MATCH(C1135,'Cadastro Mestre'!$A$5:$A$504,0)),"código não encontrado"))</f>
        <v/>
      </c>
      <c r="E1135" s="24" t="str">
        <f aca="false">IF(C1135="","",IFERROR(INDEX('Cadastro Mestre'!$Q$5:$Q$504,MATCH(C1135,'Cadastro Mestre'!$A$5:$A$504,0)),""))</f>
        <v/>
      </c>
      <c r="F1135" s="21"/>
      <c r="G1135" s="21"/>
      <c r="H1135" s="21"/>
      <c r="I1135" s="21"/>
    </row>
    <row r="1136" customFormat="false" ht="15" hidden="false" customHeight="false" outlineLevel="0" collapsed="false">
      <c r="A1136" s="25"/>
      <c r="B1136" s="21"/>
      <c r="C1136" s="21"/>
      <c r="D1136" s="26" t="str">
        <f aca="false">IF(C1136="","",IFERROR(INDEX('Cadastro Mestre'!$C$5:$C$504,MATCH(C1136,'Cadastro Mestre'!$A$5:$A$504,0)),"código não encontrado"))</f>
        <v/>
      </c>
      <c r="E1136" s="24" t="str">
        <f aca="false">IF(C1136="","",IFERROR(INDEX('Cadastro Mestre'!$Q$5:$Q$504,MATCH(C1136,'Cadastro Mestre'!$A$5:$A$504,0)),""))</f>
        <v/>
      </c>
      <c r="F1136" s="21"/>
      <c r="G1136" s="21"/>
      <c r="H1136" s="21"/>
      <c r="I1136" s="21"/>
    </row>
    <row r="1137" customFormat="false" ht="15" hidden="false" customHeight="false" outlineLevel="0" collapsed="false">
      <c r="A1137" s="25"/>
      <c r="B1137" s="21"/>
      <c r="C1137" s="21"/>
      <c r="D1137" s="26" t="str">
        <f aca="false">IF(C1137="","",IFERROR(INDEX('Cadastro Mestre'!$C$5:$C$504,MATCH(C1137,'Cadastro Mestre'!$A$5:$A$504,0)),"código não encontrado"))</f>
        <v/>
      </c>
      <c r="E1137" s="24" t="str">
        <f aca="false">IF(C1137="","",IFERROR(INDEX('Cadastro Mestre'!$Q$5:$Q$504,MATCH(C1137,'Cadastro Mestre'!$A$5:$A$504,0)),""))</f>
        <v/>
      </c>
      <c r="F1137" s="21"/>
      <c r="G1137" s="21"/>
      <c r="H1137" s="21"/>
      <c r="I1137" s="21"/>
    </row>
    <row r="1138" customFormat="false" ht="15" hidden="false" customHeight="false" outlineLevel="0" collapsed="false">
      <c r="A1138" s="25"/>
      <c r="B1138" s="21"/>
      <c r="C1138" s="21"/>
      <c r="D1138" s="26" t="str">
        <f aca="false">IF(C1138="","",IFERROR(INDEX('Cadastro Mestre'!$C$5:$C$504,MATCH(C1138,'Cadastro Mestre'!$A$5:$A$504,0)),"código não encontrado"))</f>
        <v/>
      </c>
      <c r="E1138" s="24" t="str">
        <f aca="false">IF(C1138="","",IFERROR(INDEX('Cadastro Mestre'!$Q$5:$Q$504,MATCH(C1138,'Cadastro Mestre'!$A$5:$A$504,0)),""))</f>
        <v/>
      </c>
      <c r="F1138" s="21"/>
      <c r="G1138" s="21"/>
      <c r="H1138" s="21"/>
      <c r="I1138" s="21"/>
    </row>
    <row r="1139" customFormat="false" ht="15" hidden="false" customHeight="false" outlineLevel="0" collapsed="false">
      <c r="A1139" s="25"/>
      <c r="B1139" s="21"/>
      <c r="C1139" s="21"/>
      <c r="D1139" s="26" t="str">
        <f aca="false">IF(C1139="","",IFERROR(INDEX('Cadastro Mestre'!$C$5:$C$504,MATCH(C1139,'Cadastro Mestre'!$A$5:$A$504,0)),"código não encontrado"))</f>
        <v/>
      </c>
      <c r="E1139" s="24" t="str">
        <f aca="false">IF(C1139="","",IFERROR(INDEX('Cadastro Mestre'!$Q$5:$Q$504,MATCH(C1139,'Cadastro Mestre'!$A$5:$A$504,0)),""))</f>
        <v/>
      </c>
      <c r="F1139" s="21"/>
      <c r="G1139" s="21"/>
      <c r="H1139" s="21"/>
      <c r="I1139" s="21"/>
    </row>
    <row r="1140" customFormat="false" ht="15" hidden="false" customHeight="false" outlineLevel="0" collapsed="false">
      <c r="A1140" s="25"/>
      <c r="B1140" s="21"/>
      <c r="C1140" s="21"/>
      <c r="D1140" s="26" t="str">
        <f aca="false">IF(C1140="","",IFERROR(INDEX('Cadastro Mestre'!$C$5:$C$504,MATCH(C1140,'Cadastro Mestre'!$A$5:$A$504,0)),"código não encontrado"))</f>
        <v/>
      </c>
      <c r="E1140" s="24" t="str">
        <f aca="false">IF(C1140="","",IFERROR(INDEX('Cadastro Mestre'!$Q$5:$Q$504,MATCH(C1140,'Cadastro Mestre'!$A$5:$A$504,0)),""))</f>
        <v/>
      </c>
      <c r="F1140" s="21"/>
      <c r="G1140" s="21"/>
      <c r="H1140" s="21"/>
      <c r="I1140" s="21"/>
    </row>
    <row r="1141" customFormat="false" ht="15" hidden="false" customHeight="false" outlineLevel="0" collapsed="false">
      <c r="A1141" s="25"/>
      <c r="B1141" s="21"/>
      <c r="C1141" s="21"/>
      <c r="D1141" s="26" t="str">
        <f aca="false">IF(C1141="","",IFERROR(INDEX('Cadastro Mestre'!$C$5:$C$504,MATCH(C1141,'Cadastro Mestre'!$A$5:$A$504,0)),"código não encontrado"))</f>
        <v/>
      </c>
      <c r="E1141" s="24" t="str">
        <f aca="false">IF(C1141="","",IFERROR(INDEX('Cadastro Mestre'!$Q$5:$Q$504,MATCH(C1141,'Cadastro Mestre'!$A$5:$A$504,0)),""))</f>
        <v/>
      </c>
      <c r="F1141" s="21"/>
      <c r="G1141" s="21"/>
      <c r="H1141" s="21"/>
      <c r="I1141" s="21"/>
    </row>
    <row r="1142" customFormat="false" ht="15" hidden="false" customHeight="false" outlineLevel="0" collapsed="false">
      <c r="A1142" s="25"/>
      <c r="B1142" s="21"/>
      <c r="C1142" s="21"/>
      <c r="D1142" s="26" t="str">
        <f aca="false">IF(C1142="","",IFERROR(INDEX('Cadastro Mestre'!$C$5:$C$504,MATCH(C1142,'Cadastro Mestre'!$A$5:$A$504,0)),"código não encontrado"))</f>
        <v/>
      </c>
      <c r="E1142" s="24" t="str">
        <f aca="false">IF(C1142="","",IFERROR(INDEX('Cadastro Mestre'!$Q$5:$Q$504,MATCH(C1142,'Cadastro Mestre'!$A$5:$A$504,0)),""))</f>
        <v/>
      </c>
      <c r="F1142" s="21"/>
      <c r="G1142" s="21"/>
      <c r="H1142" s="21"/>
      <c r="I1142" s="21"/>
    </row>
    <row r="1143" customFormat="false" ht="15" hidden="false" customHeight="false" outlineLevel="0" collapsed="false">
      <c r="A1143" s="25"/>
      <c r="B1143" s="21"/>
      <c r="C1143" s="21"/>
      <c r="D1143" s="26" t="str">
        <f aca="false">IF(C1143="","",IFERROR(INDEX('Cadastro Mestre'!$C$5:$C$504,MATCH(C1143,'Cadastro Mestre'!$A$5:$A$504,0)),"código não encontrado"))</f>
        <v/>
      </c>
      <c r="E1143" s="24" t="str">
        <f aca="false">IF(C1143="","",IFERROR(INDEX('Cadastro Mestre'!$Q$5:$Q$504,MATCH(C1143,'Cadastro Mestre'!$A$5:$A$504,0)),""))</f>
        <v/>
      </c>
      <c r="F1143" s="21"/>
      <c r="G1143" s="21"/>
      <c r="H1143" s="21"/>
      <c r="I1143" s="21"/>
    </row>
    <row r="1144" customFormat="false" ht="15" hidden="false" customHeight="false" outlineLevel="0" collapsed="false">
      <c r="A1144" s="25"/>
      <c r="B1144" s="21"/>
      <c r="C1144" s="21"/>
      <c r="D1144" s="26" t="str">
        <f aca="false">IF(C1144="","",IFERROR(INDEX('Cadastro Mestre'!$C$5:$C$504,MATCH(C1144,'Cadastro Mestre'!$A$5:$A$504,0)),"código não encontrado"))</f>
        <v/>
      </c>
      <c r="E1144" s="24" t="str">
        <f aca="false">IF(C1144="","",IFERROR(INDEX('Cadastro Mestre'!$Q$5:$Q$504,MATCH(C1144,'Cadastro Mestre'!$A$5:$A$504,0)),""))</f>
        <v/>
      </c>
      <c r="F1144" s="21"/>
      <c r="G1144" s="21"/>
      <c r="H1144" s="21"/>
      <c r="I1144" s="21"/>
    </row>
    <row r="1145" customFormat="false" ht="15" hidden="false" customHeight="false" outlineLevel="0" collapsed="false">
      <c r="A1145" s="25"/>
      <c r="B1145" s="21"/>
      <c r="C1145" s="21"/>
      <c r="D1145" s="26" t="str">
        <f aca="false">IF(C1145="","",IFERROR(INDEX('Cadastro Mestre'!$C$5:$C$504,MATCH(C1145,'Cadastro Mestre'!$A$5:$A$504,0)),"código não encontrado"))</f>
        <v/>
      </c>
      <c r="E1145" s="24" t="str">
        <f aca="false">IF(C1145="","",IFERROR(INDEX('Cadastro Mestre'!$Q$5:$Q$504,MATCH(C1145,'Cadastro Mestre'!$A$5:$A$504,0)),""))</f>
        <v/>
      </c>
      <c r="F1145" s="21"/>
      <c r="G1145" s="21"/>
      <c r="H1145" s="21"/>
      <c r="I1145" s="21"/>
    </row>
    <row r="1146" customFormat="false" ht="15" hidden="false" customHeight="false" outlineLevel="0" collapsed="false">
      <c r="A1146" s="25"/>
      <c r="B1146" s="21"/>
      <c r="C1146" s="21"/>
      <c r="D1146" s="26" t="str">
        <f aca="false">IF(C1146="","",IFERROR(INDEX('Cadastro Mestre'!$C$5:$C$504,MATCH(C1146,'Cadastro Mestre'!$A$5:$A$504,0)),"código não encontrado"))</f>
        <v/>
      </c>
      <c r="E1146" s="24" t="str">
        <f aca="false">IF(C1146="","",IFERROR(INDEX('Cadastro Mestre'!$Q$5:$Q$504,MATCH(C1146,'Cadastro Mestre'!$A$5:$A$504,0)),""))</f>
        <v/>
      </c>
      <c r="F1146" s="21"/>
      <c r="G1146" s="21"/>
      <c r="H1146" s="21"/>
      <c r="I1146" s="21"/>
    </row>
    <row r="1147" customFormat="false" ht="15" hidden="false" customHeight="false" outlineLevel="0" collapsed="false">
      <c r="A1147" s="25"/>
      <c r="B1147" s="21"/>
      <c r="C1147" s="21"/>
      <c r="D1147" s="26" t="str">
        <f aca="false">IF(C1147="","",IFERROR(INDEX('Cadastro Mestre'!$C$5:$C$504,MATCH(C1147,'Cadastro Mestre'!$A$5:$A$504,0)),"código não encontrado"))</f>
        <v/>
      </c>
      <c r="E1147" s="24" t="str">
        <f aca="false">IF(C1147="","",IFERROR(INDEX('Cadastro Mestre'!$Q$5:$Q$504,MATCH(C1147,'Cadastro Mestre'!$A$5:$A$504,0)),""))</f>
        <v/>
      </c>
      <c r="F1147" s="21"/>
      <c r="G1147" s="21"/>
      <c r="H1147" s="21"/>
      <c r="I1147" s="21"/>
    </row>
    <row r="1148" customFormat="false" ht="15" hidden="false" customHeight="false" outlineLevel="0" collapsed="false">
      <c r="A1148" s="25"/>
      <c r="B1148" s="21"/>
      <c r="C1148" s="21"/>
      <c r="D1148" s="26" t="str">
        <f aca="false">IF(C1148="","",IFERROR(INDEX('Cadastro Mestre'!$C$5:$C$504,MATCH(C1148,'Cadastro Mestre'!$A$5:$A$504,0)),"código não encontrado"))</f>
        <v/>
      </c>
      <c r="E1148" s="24" t="str">
        <f aca="false">IF(C1148="","",IFERROR(INDEX('Cadastro Mestre'!$Q$5:$Q$504,MATCH(C1148,'Cadastro Mestre'!$A$5:$A$504,0)),""))</f>
        <v/>
      </c>
      <c r="F1148" s="21"/>
      <c r="G1148" s="21"/>
      <c r="H1148" s="21"/>
      <c r="I1148" s="21"/>
    </row>
    <row r="1149" customFormat="false" ht="15" hidden="false" customHeight="false" outlineLevel="0" collapsed="false">
      <c r="A1149" s="25"/>
      <c r="B1149" s="21"/>
      <c r="C1149" s="21"/>
      <c r="D1149" s="26" t="str">
        <f aca="false">IF(C1149="","",IFERROR(INDEX('Cadastro Mestre'!$C$5:$C$504,MATCH(C1149,'Cadastro Mestre'!$A$5:$A$504,0)),"código não encontrado"))</f>
        <v/>
      </c>
      <c r="E1149" s="24" t="str">
        <f aca="false">IF(C1149="","",IFERROR(INDEX('Cadastro Mestre'!$Q$5:$Q$504,MATCH(C1149,'Cadastro Mestre'!$A$5:$A$504,0)),""))</f>
        <v/>
      </c>
      <c r="F1149" s="21"/>
      <c r="G1149" s="21"/>
      <c r="H1149" s="21"/>
      <c r="I1149" s="21"/>
    </row>
    <row r="1150" customFormat="false" ht="15" hidden="false" customHeight="false" outlineLevel="0" collapsed="false">
      <c r="A1150" s="25"/>
      <c r="B1150" s="21"/>
      <c r="C1150" s="21"/>
      <c r="D1150" s="26" t="str">
        <f aca="false">IF(C1150="","",IFERROR(INDEX('Cadastro Mestre'!$C$5:$C$504,MATCH(C1150,'Cadastro Mestre'!$A$5:$A$504,0)),"código não encontrado"))</f>
        <v/>
      </c>
      <c r="E1150" s="24" t="str">
        <f aca="false">IF(C1150="","",IFERROR(INDEX('Cadastro Mestre'!$Q$5:$Q$504,MATCH(C1150,'Cadastro Mestre'!$A$5:$A$504,0)),""))</f>
        <v/>
      </c>
      <c r="F1150" s="21"/>
      <c r="G1150" s="21"/>
      <c r="H1150" s="21"/>
      <c r="I1150" s="21"/>
    </row>
    <row r="1151" customFormat="false" ht="15" hidden="false" customHeight="false" outlineLevel="0" collapsed="false">
      <c r="A1151" s="25"/>
      <c r="B1151" s="21"/>
      <c r="C1151" s="21"/>
      <c r="D1151" s="26" t="str">
        <f aca="false">IF(C1151="","",IFERROR(INDEX('Cadastro Mestre'!$C$5:$C$504,MATCH(C1151,'Cadastro Mestre'!$A$5:$A$504,0)),"código não encontrado"))</f>
        <v/>
      </c>
      <c r="E1151" s="24" t="str">
        <f aca="false">IF(C1151="","",IFERROR(INDEX('Cadastro Mestre'!$Q$5:$Q$504,MATCH(C1151,'Cadastro Mestre'!$A$5:$A$504,0)),""))</f>
        <v/>
      </c>
      <c r="F1151" s="21"/>
      <c r="G1151" s="21"/>
      <c r="H1151" s="21"/>
      <c r="I1151" s="21"/>
    </row>
    <row r="1152" customFormat="false" ht="15" hidden="false" customHeight="false" outlineLevel="0" collapsed="false">
      <c r="A1152" s="25"/>
      <c r="B1152" s="21"/>
      <c r="C1152" s="21"/>
      <c r="D1152" s="26" t="str">
        <f aca="false">IF(C1152="","",IFERROR(INDEX('Cadastro Mestre'!$C$5:$C$504,MATCH(C1152,'Cadastro Mestre'!$A$5:$A$504,0)),"código não encontrado"))</f>
        <v/>
      </c>
      <c r="E1152" s="24" t="str">
        <f aca="false">IF(C1152="","",IFERROR(INDEX('Cadastro Mestre'!$Q$5:$Q$504,MATCH(C1152,'Cadastro Mestre'!$A$5:$A$504,0)),""))</f>
        <v/>
      </c>
      <c r="F1152" s="21"/>
      <c r="G1152" s="21"/>
      <c r="H1152" s="21"/>
      <c r="I1152" s="21"/>
    </row>
    <row r="1153" customFormat="false" ht="15" hidden="false" customHeight="false" outlineLevel="0" collapsed="false">
      <c r="A1153" s="25"/>
      <c r="B1153" s="21"/>
      <c r="C1153" s="21"/>
      <c r="D1153" s="26" t="str">
        <f aca="false">IF(C1153="","",IFERROR(INDEX('Cadastro Mestre'!$C$5:$C$504,MATCH(C1153,'Cadastro Mestre'!$A$5:$A$504,0)),"código não encontrado"))</f>
        <v/>
      </c>
      <c r="E1153" s="24" t="str">
        <f aca="false">IF(C1153="","",IFERROR(INDEX('Cadastro Mestre'!$Q$5:$Q$504,MATCH(C1153,'Cadastro Mestre'!$A$5:$A$504,0)),""))</f>
        <v/>
      </c>
      <c r="F1153" s="21"/>
      <c r="G1153" s="21"/>
      <c r="H1153" s="21"/>
      <c r="I1153" s="21"/>
    </row>
    <row r="1154" customFormat="false" ht="15" hidden="false" customHeight="false" outlineLevel="0" collapsed="false">
      <c r="A1154" s="25"/>
      <c r="B1154" s="21"/>
      <c r="C1154" s="21"/>
      <c r="D1154" s="26" t="str">
        <f aca="false">IF(C1154="","",IFERROR(INDEX('Cadastro Mestre'!$C$5:$C$504,MATCH(C1154,'Cadastro Mestre'!$A$5:$A$504,0)),"código não encontrado"))</f>
        <v/>
      </c>
      <c r="E1154" s="24" t="str">
        <f aca="false">IF(C1154="","",IFERROR(INDEX('Cadastro Mestre'!$Q$5:$Q$504,MATCH(C1154,'Cadastro Mestre'!$A$5:$A$504,0)),""))</f>
        <v/>
      </c>
      <c r="F1154" s="21"/>
      <c r="G1154" s="21"/>
      <c r="H1154" s="21"/>
      <c r="I1154" s="21"/>
    </row>
    <row r="1155" customFormat="false" ht="15" hidden="false" customHeight="false" outlineLevel="0" collapsed="false">
      <c r="A1155" s="25"/>
      <c r="B1155" s="21"/>
      <c r="C1155" s="21"/>
      <c r="D1155" s="26" t="str">
        <f aca="false">IF(C1155="","",IFERROR(INDEX('Cadastro Mestre'!$C$5:$C$504,MATCH(C1155,'Cadastro Mestre'!$A$5:$A$504,0)),"código não encontrado"))</f>
        <v/>
      </c>
      <c r="E1155" s="24" t="str">
        <f aca="false">IF(C1155="","",IFERROR(INDEX('Cadastro Mestre'!$Q$5:$Q$504,MATCH(C1155,'Cadastro Mestre'!$A$5:$A$504,0)),""))</f>
        <v/>
      </c>
      <c r="F1155" s="21"/>
      <c r="G1155" s="21"/>
      <c r="H1155" s="21"/>
      <c r="I1155" s="21"/>
    </row>
    <row r="1156" customFormat="false" ht="15" hidden="false" customHeight="false" outlineLevel="0" collapsed="false">
      <c r="A1156" s="25"/>
      <c r="B1156" s="21"/>
      <c r="C1156" s="21"/>
      <c r="D1156" s="26" t="str">
        <f aca="false">IF(C1156="","",IFERROR(INDEX('Cadastro Mestre'!$C$5:$C$504,MATCH(C1156,'Cadastro Mestre'!$A$5:$A$504,0)),"código não encontrado"))</f>
        <v/>
      </c>
      <c r="E1156" s="24" t="str">
        <f aca="false">IF(C1156="","",IFERROR(INDEX('Cadastro Mestre'!$Q$5:$Q$504,MATCH(C1156,'Cadastro Mestre'!$A$5:$A$504,0)),""))</f>
        <v/>
      </c>
      <c r="F1156" s="21"/>
      <c r="G1156" s="21"/>
      <c r="H1156" s="21"/>
      <c r="I1156" s="21"/>
    </row>
    <row r="1157" customFormat="false" ht="15" hidden="false" customHeight="false" outlineLevel="0" collapsed="false">
      <c r="A1157" s="25"/>
      <c r="B1157" s="21"/>
      <c r="C1157" s="21"/>
      <c r="D1157" s="26" t="str">
        <f aca="false">IF(C1157="","",IFERROR(INDEX('Cadastro Mestre'!$C$5:$C$504,MATCH(C1157,'Cadastro Mestre'!$A$5:$A$504,0)),"código não encontrado"))</f>
        <v/>
      </c>
      <c r="E1157" s="24" t="str">
        <f aca="false">IF(C1157="","",IFERROR(INDEX('Cadastro Mestre'!$Q$5:$Q$504,MATCH(C1157,'Cadastro Mestre'!$A$5:$A$504,0)),""))</f>
        <v/>
      </c>
      <c r="F1157" s="21"/>
      <c r="G1157" s="21"/>
      <c r="H1157" s="21"/>
      <c r="I1157" s="21"/>
    </row>
    <row r="1158" customFormat="false" ht="15" hidden="false" customHeight="false" outlineLevel="0" collapsed="false">
      <c r="A1158" s="25"/>
      <c r="B1158" s="21"/>
      <c r="C1158" s="21"/>
      <c r="D1158" s="26" t="str">
        <f aca="false">IF(C1158="","",IFERROR(INDEX('Cadastro Mestre'!$C$5:$C$504,MATCH(C1158,'Cadastro Mestre'!$A$5:$A$504,0)),"código não encontrado"))</f>
        <v/>
      </c>
      <c r="E1158" s="24" t="str">
        <f aca="false">IF(C1158="","",IFERROR(INDEX('Cadastro Mestre'!$Q$5:$Q$504,MATCH(C1158,'Cadastro Mestre'!$A$5:$A$504,0)),""))</f>
        <v/>
      </c>
      <c r="F1158" s="21"/>
      <c r="G1158" s="21"/>
      <c r="H1158" s="21"/>
      <c r="I1158" s="21"/>
    </row>
    <row r="1159" customFormat="false" ht="15" hidden="false" customHeight="false" outlineLevel="0" collapsed="false">
      <c r="A1159" s="25"/>
      <c r="B1159" s="21"/>
      <c r="C1159" s="21"/>
      <c r="D1159" s="26" t="str">
        <f aca="false">IF(C1159="","",IFERROR(INDEX('Cadastro Mestre'!$C$5:$C$504,MATCH(C1159,'Cadastro Mestre'!$A$5:$A$504,0)),"código não encontrado"))</f>
        <v/>
      </c>
      <c r="E1159" s="24" t="str">
        <f aca="false">IF(C1159="","",IFERROR(INDEX('Cadastro Mestre'!$Q$5:$Q$504,MATCH(C1159,'Cadastro Mestre'!$A$5:$A$504,0)),""))</f>
        <v/>
      </c>
      <c r="F1159" s="21"/>
      <c r="G1159" s="21"/>
      <c r="H1159" s="21"/>
      <c r="I1159" s="21"/>
    </row>
    <row r="1160" customFormat="false" ht="15" hidden="false" customHeight="false" outlineLevel="0" collapsed="false">
      <c r="A1160" s="25"/>
      <c r="B1160" s="21"/>
      <c r="C1160" s="21"/>
      <c r="D1160" s="26" t="str">
        <f aca="false">IF(C1160="","",IFERROR(INDEX('Cadastro Mestre'!$C$5:$C$504,MATCH(C1160,'Cadastro Mestre'!$A$5:$A$504,0)),"código não encontrado"))</f>
        <v/>
      </c>
      <c r="E1160" s="24" t="str">
        <f aca="false">IF(C1160="","",IFERROR(INDEX('Cadastro Mestre'!$Q$5:$Q$504,MATCH(C1160,'Cadastro Mestre'!$A$5:$A$504,0)),""))</f>
        <v/>
      </c>
      <c r="F1160" s="21"/>
      <c r="G1160" s="21"/>
      <c r="H1160" s="21"/>
      <c r="I1160" s="21"/>
    </row>
    <row r="1161" customFormat="false" ht="15" hidden="false" customHeight="false" outlineLevel="0" collapsed="false">
      <c r="A1161" s="25"/>
      <c r="B1161" s="21"/>
      <c r="C1161" s="21"/>
      <c r="D1161" s="26" t="str">
        <f aca="false">IF(C1161="","",IFERROR(INDEX('Cadastro Mestre'!$C$5:$C$504,MATCH(C1161,'Cadastro Mestre'!$A$5:$A$504,0)),"código não encontrado"))</f>
        <v/>
      </c>
      <c r="E1161" s="24" t="str">
        <f aca="false">IF(C1161="","",IFERROR(INDEX('Cadastro Mestre'!$Q$5:$Q$504,MATCH(C1161,'Cadastro Mestre'!$A$5:$A$504,0)),""))</f>
        <v/>
      </c>
      <c r="F1161" s="21"/>
      <c r="G1161" s="21"/>
      <c r="H1161" s="21"/>
      <c r="I1161" s="21"/>
    </row>
    <row r="1162" customFormat="false" ht="15" hidden="false" customHeight="false" outlineLevel="0" collapsed="false">
      <c r="A1162" s="25"/>
      <c r="B1162" s="21"/>
      <c r="C1162" s="21"/>
      <c r="D1162" s="26" t="str">
        <f aca="false">IF(C1162="","",IFERROR(INDEX('Cadastro Mestre'!$C$5:$C$504,MATCH(C1162,'Cadastro Mestre'!$A$5:$A$504,0)),"código não encontrado"))</f>
        <v/>
      </c>
      <c r="E1162" s="24" t="str">
        <f aca="false">IF(C1162="","",IFERROR(INDEX('Cadastro Mestre'!$Q$5:$Q$504,MATCH(C1162,'Cadastro Mestre'!$A$5:$A$504,0)),""))</f>
        <v/>
      </c>
      <c r="F1162" s="21"/>
      <c r="G1162" s="21"/>
      <c r="H1162" s="21"/>
      <c r="I1162" s="21"/>
    </row>
    <row r="1163" customFormat="false" ht="15" hidden="false" customHeight="false" outlineLevel="0" collapsed="false">
      <c r="A1163" s="25"/>
      <c r="B1163" s="21"/>
      <c r="C1163" s="21"/>
      <c r="D1163" s="26" t="str">
        <f aca="false">IF(C1163="","",IFERROR(INDEX('Cadastro Mestre'!$C$5:$C$504,MATCH(C1163,'Cadastro Mestre'!$A$5:$A$504,0)),"código não encontrado"))</f>
        <v/>
      </c>
      <c r="E1163" s="24" t="str">
        <f aca="false">IF(C1163="","",IFERROR(INDEX('Cadastro Mestre'!$Q$5:$Q$504,MATCH(C1163,'Cadastro Mestre'!$A$5:$A$504,0)),""))</f>
        <v/>
      </c>
      <c r="F1163" s="21"/>
      <c r="G1163" s="21"/>
      <c r="H1163" s="21"/>
      <c r="I1163" s="21"/>
    </row>
    <row r="1164" customFormat="false" ht="15" hidden="false" customHeight="false" outlineLevel="0" collapsed="false">
      <c r="A1164" s="25"/>
      <c r="B1164" s="21"/>
      <c r="C1164" s="21"/>
      <c r="D1164" s="26" t="str">
        <f aca="false">IF(C1164="","",IFERROR(INDEX('Cadastro Mestre'!$C$5:$C$504,MATCH(C1164,'Cadastro Mestre'!$A$5:$A$504,0)),"código não encontrado"))</f>
        <v/>
      </c>
      <c r="E1164" s="24" t="str">
        <f aca="false">IF(C1164="","",IFERROR(INDEX('Cadastro Mestre'!$Q$5:$Q$504,MATCH(C1164,'Cadastro Mestre'!$A$5:$A$504,0)),""))</f>
        <v/>
      </c>
      <c r="F1164" s="21"/>
      <c r="G1164" s="21"/>
      <c r="H1164" s="21"/>
      <c r="I1164" s="21"/>
    </row>
    <row r="1165" customFormat="false" ht="15" hidden="false" customHeight="false" outlineLevel="0" collapsed="false">
      <c r="A1165" s="25"/>
      <c r="B1165" s="21"/>
      <c r="C1165" s="21"/>
      <c r="D1165" s="26" t="str">
        <f aca="false">IF(C1165="","",IFERROR(INDEX('Cadastro Mestre'!$C$5:$C$504,MATCH(C1165,'Cadastro Mestre'!$A$5:$A$504,0)),"código não encontrado"))</f>
        <v/>
      </c>
      <c r="E1165" s="24" t="str">
        <f aca="false">IF(C1165="","",IFERROR(INDEX('Cadastro Mestre'!$Q$5:$Q$504,MATCH(C1165,'Cadastro Mestre'!$A$5:$A$504,0)),""))</f>
        <v/>
      </c>
      <c r="F1165" s="21"/>
      <c r="G1165" s="21"/>
      <c r="H1165" s="21"/>
      <c r="I1165" s="21"/>
    </row>
    <row r="1166" customFormat="false" ht="15" hidden="false" customHeight="false" outlineLevel="0" collapsed="false">
      <c r="A1166" s="25"/>
      <c r="B1166" s="21"/>
      <c r="C1166" s="21"/>
      <c r="D1166" s="26" t="str">
        <f aca="false">IF(C1166="","",IFERROR(INDEX('Cadastro Mestre'!$C$5:$C$504,MATCH(C1166,'Cadastro Mestre'!$A$5:$A$504,0)),"código não encontrado"))</f>
        <v/>
      </c>
      <c r="E1166" s="24" t="str">
        <f aca="false">IF(C1166="","",IFERROR(INDEX('Cadastro Mestre'!$Q$5:$Q$504,MATCH(C1166,'Cadastro Mestre'!$A$5:$A$504,0)),""))</f>
        <v/>
      </c>
      <c r="F1166" s="21"/>
      <c r="G1166" s="21"/>
      <c r="H1166" s="21"/>
      <c r="I1166" s="21"/>
    </row>
    <row r="1167" customFormat="false" ht="15" hidden="false" customHeight="false" outlineLevel="0" collapsed="false">
      <c r="A1167" s="25"/>
      <c r="B1167" s="21"/>
      <c r="C1167" s="21"/>
      <c r="D1167" s="26" t="str">
        <f aca="false">IF(C1167="","",IFERROR(INDEX('Cadastro Mestre'!$C$5:$C$504,MATCH(C1167,'Cadastro Mestre'!$A$5:$A$504,0)),"código não encontrado"))</f>
        <v/>
      </c>
      <c r="E1167" s="24" t="str">
        <f aca="false">IF(C1167="","",IFERROR(INDEX('Cadastro Mestre'!$Q$5:$Q$504,MATCH(C1167,'Cadastro Mestre'!$A$5:$A$504,0)),""))</f>
        <v/>
      </c>
      <c r="F1167" s="21"/>
      <c r="G1167" s="21"/>
      <c r="H1167" s="21"/>
      <c r="I1167" s="21"/>
    </row>
    <row r="1168" customFormat="false" ht="15" hidden="false" customHeight="false" outlineLevel="0" collapsed="false">
      <c r="A1168" s="25"/>
      <c r="B1168" s="21"/>
      <c r="C1168" s="21"/>
      <c r="D1168" s="26" t="str">
        <f aca="false">IF(C1168="","",IFERROR(INDEX('Cadastro Mestre'!$C$5:$C$504,MATCH(C1168,'Cadastro Mestre'!$A$5:$A$504,0)),"código não encontrado"))</f>
        <v/>
      </c>
      <c r="E1168" s="24" t="str">
        <f aca="false">IF(C1168="","",IFERROR(INDEX('Cadastro Mestre'!$Q$5:$Q$504,MATCH(C1168,'Cadastro Mestre'!$A$5:$A$504,0)),""))</f>
        <v/>
      </c>
      <c r="F1168" s="21"/>
      <c r="G1168" s="21"/>
      <c r="H1168" s="21"/>
      <c r="I1168" s="21"/>
    </row>
    <row r="1169" customFormat="false" ht="15" hidden="false" customHeight="false" outlineLevel="0" collapsed="false">
      <c r="A1169" s="25"/>
      <c r="B1169" s="21"/>
      <c r="C1169" s="21"/>
      <c r="D1169" s="26" t="str">
        <f aca="false">IF(C1169="","",IFERROR(INDEX('Cadastro Mestre'!$C$5:$C$504,MATCH(C1169,'Cadastro Mestre'!$A$5:$A$504,0)),"código não encontrado"))</f>
        <v/>
      </c>
      <c r="E1169" s="24" t="str">
        <f aca="false">IF(C1169="","",IFERROR(INDEX('Cadastro Mestre'!$Q$5:$Q$504,MATCH(C1169,'Cadastro Mestre'!$A$5:$A$504,0)),""))</f>
        <v/>
      </c>
      <c r="F1169" s="21"/>
      <c r="G1169" s="21"/>
      <c r="H1169" s="21"/>
      <c r="I1169" s="21"/>
    </row>
    <row r="1170" customFormat="false" ht="15" hidden="false" customHeight="false" outlineLevel="0" collapsed="false">
      <c r="A1170" s="25"/>
      <c r="B1170" s="21"/>
      <c r="C1170" s="21"/>
      <c r="D1170" s="26" t="str">
        <f aca="false">IF(C1170="","",IFERROR(INDEX('Cadastro Mestre'!$C$5:$C$504,MATCH(C1170,'Cadastro Mestre'!$A$5:$A$504,0)),"código não encontrado"))</f>
        <v/>
      </c>
      <c r="E1170" s="24" t="str">
        <f aca="false">IF(C1170="","",IFERROR(INDEX('Cadastro Mestre'!$Q$5:$Q$504,MATCH(C1170,'Cadastro Mestre'!$A$5:$A$504,0)),""))</f>
        <v/>
      </c>
      <c r="F1170" s="21"/>
      <c r="G1170" s="21"/>
      <c r="H1170" s="21"/>
      <c r="I1170" s="21"/>
    </row>
    <row r="1171" customFormat="false" ht="15" hidden="false" customHeight="false" outlineLevel="0" collapsed="false">
      <c r="A1171" s="25"/>
      <c r="B1171" s="21"/>
      <c r="C1171" s="21"/>
      <c r="D1171" s="26" t="str">
        <f aca="false">IF(C1171="","",IFERROR(INDEX('Cadastro Mestre'!$C$5:$C$504,MATCH(C1171,'Cadastro Mestre'!$A$5:$A$504,0)),"código não encontrado"))</f>
        <v/>
      </c>
      <c r="E1171" s="24" t="str">
        <f aca="false">IF(C1171="","",IFERROR(INDEX('Cadastro Mestre'!$Q$5:$Q$504,MATCH(C1171,'Cadastro Mestre'!$A$5:$A$504,0)),""))</f>
        <v/>
      </c>
      <c r="F1171" s="21"/>
      <c r="G1171" s="21"/>
      <c r="H1171" s="21"/>
      <c r="I1171" s="21"/>
    </row>
    <row r="1172" customFormat="false" ht="15" hidden="false" customHeight="false" outlineLevel="0" collapsed="false">
      <c r="A1172" s="25"/>
      <c r="B1172" s="21"/>
      <c r="C1172" s="21"/>
      <c r="D1172" s="26" t="str">
        <f aca="false">IF(C1172="","",IFERROR(INDEX('Cadastro Mestre'!$C$5:$C$504,MATCH(C1172,'Cadastro Mestre'!$A$5:$A$504,0)),"código não encontrado"))</f>
        <v/>
      </c>
      <c r="E1172" s="24" t="str">
        <f aca="false">IF(C1172="","",IFERROR(INDEX('Cadastro Mestre'!$Q$5:$Q$504,MATCH(C1172,'Cadastro Mestre'!$A$5:$A$504,0)),""))</f>
        <v/>
      </c>
      <c r="F1172" s="21"/>
      <c r="G1172" s="21"/>
      <c r="H1172" s="21"/>
      <c r="I1172" s="21"/>
    </row>
    <row r="1173" customFormat="false" ht="15" hidden="false" customHeight="false" outlineLevel="0" collapsed="false">
      <c r="A1173" s="25"/>
      <c r="B1173" s="21"/>
      <c r="C1173" s="21"/>
      <c r="D1173" s="26" t="str">
        <f aca="false">IF(C1173="","",IFERROR(INDEX('Cadastro Mestre'!$C$5:$C$504,MATCH(C1173,'Cadastro Mestre'!$A$5:$A$504,0)),"código não encontrado"))</f>
        <v/>
      </c>
      <c r="E1173" s="24" t="str">
        <f aca="false">IF(C1173="","",IFERROR(INDEX('Cadastro Mestre'!$Q$5:$Q$504,MATCH(C1173,'Cadastro Mestre'!$A$5:$A$504,0)),""))</f>
        <v/>
      </c>
      <c r="F1173" s="21"/>
      <c r="G1173" s="21"/>
      <c r="H1173" s="21"/>
      <c r="I1173" s="21"/>
    </row>
    <row r="1174" customFormat="false" ht="15" hidden="false" customHeight="false" outlineLevel="0" collapsed="false">
      <c r="A1174" s="25"/>
      <c r="B1174" s="21"/>
      <c r="C1174" s="21"/>
      <c r="D1174" s="26" t="str">
        <f aca="false">IF(C1174="","",IFERROR(INDEX('Cadastro Mestre'!$C$5:$C$504,MATCH(C1174,'Cadastro Mestre'!$A$5:$A$504,0)),"código não encontrado"))</f>
        <v/>
      </c>
      <c r="E1174" s="24" t="str">
        <f aca="false">IF(C1174="","",IFERROR(INDEX('Cadastro Mestre'!$Q$5:$Q$504,MATCH(C1174,'Cadastro Mestre'!$A$5:$A$504,0)),""))</f>
        <v/>
      </c>
      <c r="F1174" s="21"/>
      <c r="G1174" s="21"/>
      <c r="H1174" s="21"/>
      <c r="I1174" s="21"/>
    </row>
    <row r="1175" customFormat="false" ht="15" hidden="false" customHeight="false" outlineLevel="0" collapsed="false">
      <c r="A1175" s="25"/>
      <c r="B1175" s="21"/>
      <c r="C1175" s="21"/>
      <c r="D1175" s="26" t="str">
        <f aca="false">IF(C1175="","",IFERROR(INDEX('Cadastro Mestre'!$C$5:$C$504,MATCH(C1175,'Cadastro Mestre'!$A$5:$A$504,0)),"código não encontrado"))</f>
        <v/>
      </c>
      <c r="E1175" s="24" t="str">
        <f aca="false">IF(C1175="","",IFERROR(INDEX('Cadastro Mestre'!$Q$5:$Q$504,MATCH(C1175,'Cadastro Mestre'!$A$5:$A$504,0)),""))</f>
        <v/>
      </c>
      <c r="F1175" s="21"/>
      <c r="G1175" s="21"/>
      <c r="H1175" s="21"/>
      <c r="I1175" s="21"/>
    </row>
    <row r="1176" customFormat="false" ht="15" hidden="false" customHeight="false" outlineLevel="0" collapsed="false">
      <c r="A1176" s="25"/>
      <c r="B1176" s="21"/>
      <c r="C1176" s="21"/>
      <c r="D1176" s="26" t="str">
        <f aca="false">IF(C1176="","",IFERROR(INDEX('Cadastro Mestre'!$C$5:$C$504,MATCH(C1176,'Cadastro Mestre'!$A$5:$A$504,0)),"código não encontrado"))</f>
        <v/>
      </c>
      <c r="E1176" s="24" t="str">
        <f aca="false">IF(C1176="","",IFERROR(INDEX('Cadastro Mestre'!$Q$5:$Q$504,MATCH(C1176,'Cadastro Mestre'!$A$5:$A$504,0)),""))</f>
        <v/>
      </c>
      <c r="F1176" s="21"/>
      <c r="G1176" s="21"/>
      <c r="H1176" s="21"/>
      <c r="I1176" s="21"/>
    </row>
    <row r="1177" customFormat="false" ht="15" hidden="false" customHeight="false" outlineLevel="0" collapsed="false">
      <c r="A1177" s="25"/>
      <c r="B1177" s="21"/>
      <c r="C1177" s="21"/>
      <c r="D1177" s="26" t="str">
        <f aca="false">IF(C1177="","",IFERROR(INDEX('Cadastro Mestre'!$C$5:$C$504,MATCH(C1177,'Cadastro Mestre'!$A$5:$A$504,0)),"código não encontrado"))</f>
        <v/>
      </c>
      <c r="E1177" s="24" t="str">
        <f aca="false">IF(C1177="","",IFERROR(INDEX('Cadastro Mestre'!$Q$5:$Q$504,MATCH(C1177,'Cadastro Mestre'!$A$5:$A$504,0)),""))</f>
        <v/>
      </c>
      <c r="F1177" s="21"/>
      <c r="G1177" s="21"/>
      <c r="H1177" s="21"/>
      <c r="I1177" s="21"/>
    </row>
    <row r="1178" customFormat="false" ht="15" hidden="false" customHeight="false" outlineLevel="0" collapsed="false">
      <c r="A1178" s="25"/>
      <c r="B1178" s="21"/>
      <c r="C1178" s="21"/>
      <c r="D1178" s="26" t="str">
        <f aca="false">IF(C1178="","",IFERROR(INDEX('Cadastro Mestre'!$C$5:$C$504,MATCH(C1178,'Cadastro Mestre'!$A$5:$A$504,0)),"código não encontrado"))</f>
        <v/>
      </c>
      <c r="E1178" s="24" t="str">
        <f aca="false">IF(C1178="","",IFERROR(INDEX('Cadastro Mestre'!$Q$5:$Q$504,MATCH(C1178,'Cadastro Mestre'!$A$5:$A$504,0)),""))</f>
        <v/>
      </c>
      <c r="F1178" s="21"/>
      <c r="G1178" s="21"/>
      <c r="H1178" s="21"/>
      <c r="I1178" s="21"/>
    </row>
    <row r="1179" customFormat="false" ht="15" hidden="false" customHeight="false" outlineLevel="0" collapsed="false">
      <c r="A1179" s="25"/>
      <c r="B1179" s="21"/>
      <c r="C1179" s="21"/>
      <c r="D1179" s="26" t="str">
        <f aca="false">IF(C1179="","",IFERROR(INDEX('Cadastro Mestre'!$C$5:$C$504,MATCH(C1179,'Cadastro Mestre'!$A$5:$A$504,0)),"código não encontrado"))</f>
        <v/>
      </c>
      <c r="E1179" s="24" t="str">
        <f aca="false">IF(C1179="","",IFERROR(INDEX('Cadastro Mestre'!$Q$5:$Q$504,MATCH(C1179,'Cadastro Mestre'!$A$5:$A$504,0)),""))</f>
        <v/>
      </c>
      <c r="F1179" s="21"/>
      <c r="G1179" s="21"/>
      <c r="H1179" s="21"/>
      <c r="I1179" s="21"/>
    </row>
    <row r="1180" customFormat="false" ht="15" hidden="false" customHeight="false" outlineLevel="0" collapsed="false">
      <c r="A1180" s="25"/>
      <c r="B1180" s="21"/>
      <c r="C1180" s="21"/>
      <c r="D1180" s="26" t="str">
        <f aca="false">IF(C1180="","",IFERROR(INDEX('Cadastro Mestre'!$C$5:$C$504,MATCH(C1180,'Cadastro Mestre'!$A$5:$A$504,0)),"código não encontrado"))</f>
        <v/>
      </c>
      <c r="E1180" s="24" t="str">
        <f aca="false">IF(C1180="","",IFERROR(INDEX('Cadastro Mestre'!$Q$5:$Q$504,MATCH(C1180,'Cadastro Mestre'!$A$5:$A$504,0)),""))</f>
        <v/>
      </c>
      <c r="F1180" s="21"/>
      <c r="G1180" s="21"/>
      <c r="H1180" s="21"/>
      <c r="I1180" s="21"/>
    </row>
    <row r="1181" customFormat="false" ht="15" hidden="false" customHeight="false" outlineLevel="0" collapsed="false">
      <c r="A1181" s="25"/>
      <c r="B1181" s="21"/>
      <c r="C1181" s="21"/>
      <c r="D1181" s="26" t="str">
        <f aca="false">IF(C1181="","",IFERROR(INDEX('Cadastro Mestre'!$C$5:$C$504,MATCH(C1181,'Cadastro Mestre'!$A$5:$A$504,0)),"código não encontrado"))</f>
        <v/>
      </c>
      <c r="E1181" s="24" t="str">
        <f aca="false">IF(C1181="","",IFERROR(INDEX('Cadastro Mestre'!$Q$5:$Q$504,MATCH(C1181,'Cadastro Mestre'!$A$5:$A$504,0)),""))</f>
        <v/>
      </c>
      <c r="F1181" s="21"/>
      <c r="G1181" s="21"/>
      <c r="H1181" s="21"/>
      <c r="I1181" s="21"/>
    </row>
    <row r="1182" customFormat="false" ht="15" hidden="false" customHeight="false" outlineLevel="0" collapsed="false">
      <c r="A1182" s="25"/>
      <c r="B1182" s="21"/>
      <c r="C1182" s="21"/>
      <c r="D1182" s="26" t="str">
        <f aca="false">IF(C1182="","",IFERROR(INDEX('Cadastro Mestre'!$C$5:$C$504,MATCH(C1182,'Cadastro Mestre'!$A$5:$A$504,0)),"código não encontrado"))</f>
        <v/>
      </c>
      <c r="E1182" s="24" t="str">
        <f aca="false">IF(C1182="","",IFERROR(INDEX('Cadastro Mestre'!$Q$5:$Q$504,MATCH(C1182,'Cadastro Mestre'!$A$5:$A$504,0)),""))</f>
        <v/>
      </c>
      <c r="F1182" s="21"/>
      <c r="G1182" s="21"/>
      <c r="H1182" s="21"/>
      <c r="I1182" s="21"/>
    </row>
    <row r="1183" customFormat="false" ht="15" hidden="false" customHeight="false" outlineLevel="0" collapsed="false">
      <c r="A1183" s="25"/>
      <c r="B1183" s="21"/>
      <c r="C1183" s="21"/>
      <c r="D1183" s="26" t="str">
        <f aca="false">IF(C1183="","",IFERROR(INDEX('Cadastro Mestre'!$C$5:$C$504,MATCH(C1183,'Cadastro Mestre'!$A$5:$A$504,0)),"código não encontrado"))</f>
        <v/>
      </c>
      <c r="E1183" s="24" t="str">
        <f aca="false">IF(C1183="","",IFERROR(INDEX('Cadastro Mestre'!$Q$5:$Q$504,MATCH(C1183,'Cadastro Mestre'!$A$5:$A$504,0)),""))</f>
        <v/>
      </c>
      <c r="F1183" s="21"/>
      <c r="G1183" s="21"/>
      <c r="H1183" s="21"/>
      <c r="I1183" s="21"/>
    </row>
    <row r="1184" customFormat="false" ht="15" hidden="false" customHeight="false" outlineLevel="0" collapsed="false">
      <c r="A1184" s="25"/>
      <c r="B1184" s="21"/>
      <c r="C1184" s="21"/>
      <c r="D1184" s="26" t="str">
        <f aca="false">IF(C1184="","",IFERROR(INDEX('Cadastro Mestre'!$C$5:$C$504,MATCH(C1184,'Cadastro Mestre'!$A$5:$A$504,0)),"código não encontrado"))</f>
        <v/>
      </c>
      <c r="E1184" s="24" t="str">
        <f aca="false">IF(C1184="","",IFERROR(INDEX('Cadastro Mestre'!$Q$5:$Q$504,MATCH(C1184,'Cadastro Mestre'!$A$5:$A$504,0)),""))</f>
        <v/>
      </c>
      <c r="F1184" s="21"/>
      <c r="G1184" s="21"/>
      <c r="H1184" s="21"/>
      <c r="I1184" s="21"/>
    </row>
    <row r="1185" customFormat="false" ht="15" hidden="false" customHeight="false" outlineLevel="0" collapsed="false">
      <c r="A1185" s="25"/>
      <c r="B1185" s="21"/>
      <c r="C1185" s="21"/>
      <c r="D1185" s="26" t="str">
        <f aca="false">IF(C1185="","",IFERROR(INDEX('Cadastro Mestre'!$C$5:$C$504,MATCH(C1185,'Cadastro Mestre'!$A$5:$A$504,0)),"código não encontrado"))</f>
        <v/>
      </c>
      <c r="E1185" s="24" t="str">
        <f aca="false">IF(C1185="","",IFERROR(INDEX('Cadastro Mestre'!$Q$5:$Q$504,MATCH(C1185,'Cadastro Mestre'!$A$5:$A$504,0)),""))</f>
        <v/>
      </c>
      <c r="F1185" s="21"/>
      <c r="G1185" s="21"/>
      <c r="H1185" s="21"/>
      <c r="I1185" s="21"/>
    </row>
    <row r="1186" customFormat="false" ht="15" hidden="false" customHeight="false" outlineLevel="0" collapsed="false">
      <c r="A1186" s="25"/>
      <c r="B1186" s="21"/>
      <c r="C1186" s="21"/>
      <c r="D1186" s="26" t="str">
        <f aca="false">IF(C1186="","",IFERROR(INDEX('Cadastro Mestre'!$C$5:$C$504,MATCH(C1186,'Cadastro Mestre'!$A$5:$A$504,0)),"código não encontrado"))</f>
        <v/>
      </c>
      <c r="E1186" s="24" t="str">
        <f aca="false">IF(C1186="","",IFERROR(INDEX('Cadastro Mestre'!$Q$5:$Q$504,MATCH(C1186,'Cadastro Mestre'!$A$5:$A$504,0)),""))</f>
        <v/>
      </c>
      <c r="F1186" s="21"/>
      <c r="G1186" s="21"/>
      <c r="H1186" s="21"/>
      <c r="I1186" s="21"/>
    </row>
    <row r="1187" customFormat="false" ht="15" hidden="false" customHeight="false" outlineLevel="0" collapsed="false">
      <c r="A1187" s="25"/>
      <c r="B1187" s="21"/>
      <c r="C1187" s="21"/>
      <c r="D1187" s="26" t="str">
        <f aca="false">IF(C1187="","",IFERROR(INDEX('Cadastro Mestre'!$C$5:$C$504,MATCH(C1187,'Cadastro Mestre'!$A$5:$A$504,0)),"código não encontrado"))</f>
        <v/>
      </c>
      <c r="E1187" s="24" t="str">
        <f aca="false">IF(C1187="","",IFERROR(INDEX('Cadastro Mestre'!$Q$5:$Q$504,MATCH(C1187,'Cadastro Mestre'!$A$5:$A$504,0)),""))</f>
        <v/>
      </c>
      <c r="F1187" s="21"/>
      <c r="G1187" s="21"/>
      <c r="H1187" s="21"/>
      <c r="I1187" s="21"/>
    </row>
    <row r="1188" customFormat="false" ht="15" hidden="false" customHeight="false" outlineLevel="0" collapsed="false">
      <c r="A1188" s="25"/>
      <c r="B1188" s="21"/>
      <c r="C1188" s="21"/>
      <c r="D1188" s="26" t="str">
        <f aca="false">IF(C1188="","",IFERROR(INDEX('Cadastro Mestre'!$C$5:$C$504,MATCH(C1188,'Cadastro Mestre'!$A$5:$A$504,0)),"código não encontrado"))</f>
        <v/>
      </c>
      <c r="E1188" s="24" t="str">
        <f aca="false">IF(C1188="","",IFERROR(INDEX('Cadastro Mestre'!$Q$5:$Q$504,MATCH(C1188,'Cadastro Mestre'!$A$5:$A$504,0)),""))</f>
        <v/>
      </c>
      <c r="F1188" s="21"/>
      <c r="G1188" s="21"/>
      <c r="H1188" s="21"/>
      <c r="I1188" s="21"/>
    </row>
    <row r="1189" customFormat="false" ht="15" hidden="false" customHeight="false" outlineLevel="0" collapsed="false">
      <c r="A1189" s="25"/>
      <c r="B1189" s="21"/>
      <c r="C1189" s="21"/>
      <c r="D1189" s="26" t="str">
        <f aca="false">IF(C1189="","",IFERROR(INDEX('Cadastro Mestre'!$C$5:$C$504,MATCH(C1189,'Cadastro Mestre'!$A$5:$A$504,0)),"código não encontrado"))</f>
        <v/>
      </c>
      <c r="E1189" s="24" t="str">
        <f aca="false">IF(C1189="","",IFERROR(INDEX('Cadastro Mestre'!$Q$5:$Q$504,MATCH(C1189,'Cadastro Mestre'!$A$5:$A$504,0)),""))</f>
        <v/>
      </c>
      <c r="F1189" s="21"/>
      <c r="G1189" s="21"/>
      <c r="H1189" s="21"/>
      <c r="I1189" s="21"/>
    </row>
    <row r="1190" customFormat="false" ht="15" hidden="false" customHeight="false" outlineLevel="0" collapsed="false">
      <c r="A1190" s="25"/>
      <c r="B1190" s="21"/>
      <c r="C1190" s="21"/>
      <c r="D1190" s="26" t="str">
        <f aca="false">IF(C1190="","",IFERROR(INDEX('Cadastro Mestre'!$C$5:$C$504,MATCH(C1190,'Cadastro Mestre'!$A$5:$A$504,0)),"código não encontrado"))</f>
        <v/>
      </c>
      <c r="E1190" s="24" t="str">
        <f aca="false">IF(C1190="","",IFERROR(INDEX('Cadastro Mestre'!$Q$5:$Q$504,MATCH(C1190,'Cadastro Mestre'!$A$5:$A$504,0)),""))</f>
        <v/>
      </c>
      <c r="F1190" s="21"/>
      <c r="G1190" s="21"/>
      <c r="H1190" s="21"/>
      <c r="I1190" s="21"/>
    </row>
    <row r="1191" customFormat="false" ht="15" hidden="false" customHeight="false" outlineLevel="0" collapsed="false">
      <c r="A1191" s="25"/>
      <c r="B1191" s="21"/>
      <c r="C1191" s="21"/>
      <c r="D1191" s="26" t="str">
        <f aca="false">IF(C1191="","",IFERROR(INDEX('Cadastro Mestre'!$C$5:$C$504,MATCH(C1191,'Cadastro Mestre'!$A$5:$A$504,0)),"código não encontrado"))</f>
        <v/>
      </c>
      <c r="E1191" s="24" t="str">
        <f aca="false">IF(C1191="","",IFERROR(INDEX('Cadastro Mestre'!$Q$5:$Q$504,MATCH(C1191,'Cadastro Mestre'!$A$5:$A$504,0)),""))</f>
        <v/>
      </c>
      <c r="F1191" s="21"/>
      <c r="G1191" s="21"/>
      <c r="H1191" s="21"/>
      <c r="I1191" s="21"/>
    </row>
    <row r="1192" customFormat="false" ht="15" hidden="false" customHeight="false" outlineLevel="0" collapsed="false">
      <c r="A1192" s="25"/>
      <c r="B1192" s="21"/>
      <c r="C1192" s="21"/>
      <c r="D1192" s="26" t="str">
        <f aca="false">IF(C1192="","",IFERROR(INDEX('Cadastro Mestre'!$C$5:$C$504,MATCH(C1192,'Cadastro Mestre'!$A$5:$A$504,0)),"código não encontrado"))</f>
        <v/>
      </c>
      <c r="E1192" s="24" t="str">
        <f aca="false">IF(C1192="","",IFERROR(INDEX('Cadastro Mestre'!$Q$5:$Q$504,MATCH(C1192,'Cadastro Mestre'!$A$5:$A$504,0)),""))</f>
        <v/>
      </c>
      <c r="F1192" s="21"/>
      <c r="G1192" s="21"/>
      <c r="H1192" s="21"/>
      <c r="I1192" s="21"/>
    </row>
    <row r="1193" customFormat="false" ht="15" hidden="false" customHeight="false" outlineLevel="0" collapsed="false">
      <c r="A1193" s="25"/>
      <c r="B1193" s="21"/>
      <c r="C1193" s="21"/>
      <c r="D1193" s="26" t="str">
        <f aca="false">IF(C1193="","",IFERROR(INDEX('Cadastro Mestre'!$C$5:$C$504,MATCH(C1193,'Cadastro Mestre'!$A$5:$A$504,0)),"código não encontrado"))</f>
        <v/>
      </c>
      <c r="E1193" s="24" t="str">
        <f aca="false">IF(C1193="","",IFERROR(INDEX('Cadastro Mestre'!$Q$5:$Q$504,MATCH(C1193,'Cadastro Mestre'!$A$5:$A$504,0)),""))</f>
        <v/>
      </c>
      <c r="F1193" s="21"/>
      <c r="G1193" s="21"/>
      <c r="H1193" s="21"/>
      <c r="I1193" s="21"/>
    </row>
    <row r="1194" customFormat="false" ht="15" hidden="false" customHeight="false" outlineLevel="0" collapsed="false">
      <c r="A1194" s="25"/>
      <c r="B1194" s="21"/>
      <c r="C1194" s="21"/>
      <c r="D1194" s="26" t="str">
        <f aca="false">IF(C1194="","",IFERROR(INDEX('Cadastro Mestre'!$C$5:$C$504,MATCH(C1194,'Cadastro Mestre'!$A$5:$A$504,0)),"código não encontrado"))</f>
        <v/>
      </c>
      <c r="E1194" s="24" t="str">
        <f aca="false">IF(C1194="","",IFERROR(INDEX('Cadastro Mestre'!$Q$5:$Q$504,MATCH(C1194,'Cadastro Mestre'!$A$5:$A$504,0)),""))</f>
        <v/>
      </c>
      <c r="F1194" s="21"/>
      <c r="G1194" s="21"/>
      <c r="H1194" s="21"/>
      <c r="I1194" s="21"/>
    </row>
    <row r="1195" customFormat="false" ht="15" hidden="false" customHeight="false" outlineLevel="0" collapsed="false">
      <c r="A1195" s="25"/>
      <c r="B1195" s="21"/>
      <c r="C1195" s="21"/>
      <c r="D1195" s="26" t="str">
        <f aca="false">IF(C1195="","",IFERROR(INDEX('Cadastro Mestre'!$C$5:$C$504,MATCH(C1195,'Cadastro Mestre'!$A$5:$A$504,0)),"código não encontrado"))</f>
        <v/>
      </c>
      <c r="E1195" s="24" t="str">
        <f aca="false">IF(C1195="","",IFERROR(INDEX('Cadastro Mestre'!$Q$5:$Q$504,MATCH(C1195,'Cadastro Mestre'!$A$5:$A$504,0)),""))</f>
        <v/>
      </c>
      <c r="F1195" s="21"/>
      <c r="G1195" s="21"/>
      <c r="H1195" s="21"/>
      <c r="I1195" s="21"/>
    </row>
    <row r="1196" customFormat="false" ht="15" hidden="false" customHeight="false" outlineLevel="0" collapsed="false">
      <c r="A1196" s="25"/>
      <c r="B1196" s="21"/>
      <c r="C1196" s="21"/>
      <c r="D1196" s="26" t="str">
        <f aca="false">IF(C1196="","",IFERROR(INDEX('Cadastro Mestre'!$C$5:$C$504,MATCH(C1196,'Cadastro Mestre'!$A$5:$A$504,0)),"código não encontrado"))</f>
        <v/>
      </c>
      <c r="E1196" s="24" t="str">
        <f aca="false">IF(C1196="","",IFERROR(INDEX('Cadastro Mestre'!$Q$5:$Q$504,MATCH(C1196,'Cadastro Mestre'!$A$5:$A$504,0)),""))</f>
        <v/>
      </c>
      <c r="F1196" s="21"/>
      <c r="G1196" s="21"/>
      <c r="H1196" s="21"/>
      <c r="I1196" s="21"/>
    </row>
    <row r="1197" customFormat="false" ht="15" hidden="false" customHeight="false" outlineLevel="0" collapsed="false">
      <c r="A1197" s="25"/>
      <c r="B1197" s="21"/>
      <c r="C1197" s="21"/>
      <c r="D1197" s="26" t="str">
        <f aca="false">IF(C1197="","",IFERROR(INDEX('Cadastro Mestre'!$C$5:$C$504,MATCH(C1197,'Cadastro Mestre'!$A$5:$A$504,0)),"código não encontrado"))</f>
        <v/>
      </c>
      <c r="E1197" s="24" t="str">
        <f aca="false">IF(C1197="","",IFERROR(INDEX('Cadastro Mestre'!$Q$5:$Q$504,MATCH(C1197,'Cadastro Mestre'!$A$5:$A$504,0)),""))</f>
        <v/>
      </c>
      <c r="F1197" s="21"/>
      <c r="G1197" s="21"/>
      <c r="H1197" s="21"/>
      <c r="I1197" s="21"/>
    </row>
    <row r="1198" customFormat="false" ht="15" hidden="false" customHeight="false" outlineLevel="0" collapsed="false">
      <c r="A1198" s="25"/>
      <c r="B1198" s="21"/>
      <c r="C1198" s="21"/>
      <c r="D1198" s="26" t="str">
        <f aca="false">IF(C1198="","",IFERROR(INDEX('Cadastro Mestre'!$C$5:$C$504,MATCH(C1198,'Cadastro Mestre'!$A$5:$A$504,0)),"código não encontrado"))</f>
        <v/>
      </c>
      <c r="E1198" s="24" t="str">
        <f aca="false">IF(C1198="","",IFERROR(INDEX('Cadastro Mestre'!$Q$5:$Q$504,MATCH(C1198,'Cadastro Mestre'!$A$5:$A$504,0)),""))</f>
        <v/>
      </c>
      <c r="F1198" s="21"/>
      <c r="G1198" s="21"/>
      <c r="H1198" s="21"/>
      <c r="I1198" s="21"/>
    </row>
    <row r="1199" customFormat="false" ht="15" hidden="false" customHeight="false" outlineLevel="0" collapsed="false">
      <c r="A1199" s="25"/>
      <c r="B1199" s="21"/>
      <c r="C1199" s="21"/>
      <c r="D1199" s="26" t="str">
        <f aca="false">IF(C1199="","",IFERROR(INDEX('Cadastro Mestre'!$C$5:$C$504,MATCH(C1199,'Cadastro Mestre'!$A$5:$A$504,0)),"código não encontrado"))</f>
        <v/>
      </c>
      <c r="E1199" s="24" t="str">
        <f aca="false">IF(C1199="","",IFERROR(INDEX('Cadastro Mestre'!$Q$5:$Q$504,MATCH(C1199,'Cadastro Mestre'!$A$5:$A$504,0)),""))</f>
        <v/>
      </c>
      <c r="F1199" s="21"/>
      <c r="G1199" s="21"/>
      <c r="H1199" s="21"/>
      <c r="I1199" s="21"/>
    </row>
    <row r="1200" customFormat="false" ht="15" hidden="false" customHeight="false" outlineLevel="0" collapsed="false">
      <c r="A1200" s="25"/>
      <c r="B1200" s="21"/>
      <c r="C1200" s="21"/>
      <c r="D1200" s="26" t="str">
        <f aca="false">IF(C1200="","",IFERROR(INDEX('Cadastro Mestre'!$C$5:$C$504,MATCH(C1200,'Cadastro Mestre'!$A$5:$A$504,0)),"código não encontrado"))</f>
        <v/>
      </c>
      <c r="E1200" s="24" t="str">
        <f aca="false">IF(C1200="","",IFERROR(INDEX('Cadastro Mestre'!$Q$5:$Q$504,MATCH(C1200,'Cadastro Mestre'!$A$5:$A$504,0)),""))</f>
        <v/>
      </c>
      <c r="F1200" s="21"/>
      <c r="G1200" s="21"/>
      <c r="H1200" s="21"/>
      <c r="I1200" s="21"/>
    </row>
    <row r="1201" customFormat="false" ht="15" hidden="false" customHeight="false" outlineLevel="0" collapsed="false">
      <c r="A1201" s="25"/>
      <c r="B1201" s="21"/>
      <c r="C1201" s="21"/>
      <c r="D1201" s="26" t="str">
        <f aca="false">IF(C1201="","",IFERROR(INDEX('Cadastro Mestre'!$C$5:$C$504,MATCH(C1201,'Cadastro Mestre'!$A$5:$A$504,0)),"código não encontrado"))</f>
        <v/>
      </c>
      <c r="E1201" s="24" t="str">
        <f aca="false">IF(C1201="","",IFERROR(INDEX('Cadastro Mestre'!$Q$5:$Q$504,MATCH(C1201,'Cadastro Mestre'!$A$5:$A$504,0)),""))</f>
        <v/>
      </c>
      <c r="F1201" s="21"/>
      <c r="G1201" s="21"/>
      <c r="H1201" s="21"/>
      <c r="I1201" s="21"/>
    </row>
    <row r="1202" customFormat="false" ht="15" hidden="false" customHeight="false" outlineLevel="0" collapsed="false">
      <c r="A1202" s="25"/>
      <c r="B1202" s="21"/>
      <c r="C1202" s="21"/>
      <c r="D1202" s="26" t="str">
        <f aca="false">IF(C1202="","",IFERROR(INDEX('Cadastro Mestre'!$C$5:$C$504,MATCH(C1202,'Cadastro Mestre'!$A$5:$A$504,0)),"código não encontrado"))</f>
        <v/>
      </c>
      <c r="E1202" s="24" t="str">
        <f aca="false">IF(C1202="","",IFERROR(INDEX('Cadastro Mestre'!$Q$5:$Q$504,MATCH(C1202,'Cadastro Mestre'!$A$5:$A$504,0)),""))</f>
        <v/>
      </c>
      <c r="F1202" s="21"/>
      <c r="G1202" s="21"/>
      <c r="H1202" s="21"/>
      <c r="I1202" s="21"/>
    </row>
    <row r="1203" customFormat="false" ht="15" hidden="false" customHeight="false" outlineLevel="0" collapsed="false">
      <c r="A1203" s="25"/>
      <c r="B1203" s="21"/>
      <c r="C1203" s="21"/>
      <c r="D1203" s="26" t="str">
        <f aca="false">IF(C1203="","",IFERROR(INDEX('Cadastro Mestre'!$C$5:$C$504,MATCH(C1203,'Cadastro Mestre'!$A$5:$A$504,0)),"código não encontrado"))</f>
        <v/>
      </c>
      <c r="E1203" s="24" t="str">
        <f aca="false">IF(C1203="","",IFERROR(INDEX('Cadastro Mestre'!$Q$5:$Q$504,MATCH(C1203,'Cadastro Mestre'!$A$5:$A$504,0)),""))</f>
        <v/>
      </c>
      <c r="F1203" s="21"/>
      <c r="G1203" s="21"/>
      <c r="H1203" s="21"/>
      <c r="I1203" s="21"/>
    </row>
    <row r="1204" customFormat="false" ht="15" hidden="false" customHeight="false" outlineLevel="0" collapsed="false">
      <c r="A1204" s="25"/>
      <c r="B1204" s="21"/>
      <c r="C1204" s="21"/>
      <c r="D1204" s="26" t="str">
        <f aca="false">IF(C1204="","",IFERROR(INDEX('Cadastro Mestre'!$C$5:$C$504,MATCH(C1204,'Cadastro Mestre'!$A$5:$A$504,0)),"código não encontrado"))</f>
        <v/>
      </c>
      <c r="E1204" s="24" t="str">
        <f aca="false">IF(C1204="","",IFERROR(INDEX('Cadastro Mestre'!$Q$5:$Q$504,MATCH(C1204,'Cadastro Mestre'!$A$5:$A$504,0)),""))</f>
        <v/>
      </c>
      <c r="F1204" s="21"/>
      <c r="G1204" s="21"/>
      <c r="H1204" s="21"/>
      <c r="I1204" s="21"/>
    </row>
    <row r="1205" customFormat="false" ht="15" hidden="false" customHeight="false" outlineLevel="0" collapsed="false">
      <c r="A1205" s="25"/>
      <c r="B1205" s="21"/>
      <c r="C1205" s="21"/>
      <c r="D1205" s="26" t="str">
        <f aca="false">IF(C1205="","",IFERROR(INDEX('Cadastro Mestre'!$C$5:$C$504,MATCH(C1205,'Cadastro Mestre'!$A$5:$A$504,0)),"código não encontrado"))</f>
        <v/>
      </c>
      <c r="E1205" s="24" t="str">
        <f aca="false">IF(C1205="","",IFERROR(INDEX('Cadastro Mestre'!$Q$5:$Q$504,MATCH(C1205,'Cadastro Mestre'!$A$5:$A$504,0)),""))</f>
        <v/>
      </c>
      <c r="F1205" s="21"/>
      <c r="G1205" s="21"/>
      <c r="H1205" s="21"/>
      <c r="I1205" s="21"/>
    </row>
    <row r="1206" customFormat="false" ht="15" hidden="false" customHeight="false" outlineLevel="0" collapsed="false">
      <c r="A1206" s="25"/>
      <c r="B1206" s="21"/>
      <c r="C1206" s="21"/>
      <c r="D1206" s="26" t="str">
        <f aca="false">IF(C1206="","",IFERROR(INDEX('Cadastro Mestre'!$C$5:$C$504,MATCH(C1206,'Cadastro Mestre'!$A$5:$A$504,0)),"código não encontrado"))</f>
        <v/>
      </c>
      <c r="E1206" s="24" t="str">
        <f aca="false">IF(C1206="","",IFERROR(INDEX('Cadastro Mestre'!$Q$5:$Q$504,MATCH(C1206,'Cadastro Mestre'!$A$5:$A$504,0)),""))</f>
        <v/>
      </c>
      <c r="F1206" s="21"/>
      <c r="G1206" s="21"/>
      <c r="H1206" s="21"/>
      <c r="I1206" s="21"/>
    </row>
    <row r="1207" customFormat="false" ht="15" hidden="false" customHeight="false" outlineLevel="0" collapsed="false">
      <c r="A1207" s="25"/>
      <c r="B1207" s="21"/>
      <c r="C1207" s="21"/>
      <c r="D1207" s="26" t="str">
        <f aca="false">IF(C1207="","",IFERROR(INDEX('Cadastro Mestre'!$C$5:$C$504,MATCH(C1207,'Cadastro Mestre'!$A$5:$A$504,0)),"código não encontrado"))</f>
        <v/>
      </c>
      <c r="E1207" s="24" t="str">
        <f aca="false">IF(C1207="","",IFERROR(INDEX('Cadastro Mestre'!$Q$5:$Q$504,MATCH(C1207,'Cadastro Mestre'!$A$5:$A$504,0)),""))</f>
        <v/>
      </c>
      <c r="F1207" s="21"/>
      <c r="G1207" s="21"/>
      <c r="H1207" s="21"/>
      <c r="I1207" s="21"/>
    </row>
    <row r="1208" customFormat="false" ht="15" hidden="false" customHeight="false" outlineLevel="0" collapsed="false">
      <c r="A1208" s="25"/>
      <c r="B1208" s="21"/>
      <c r="C1208" s="21"/>
      <c r="D1208" s="26" t="str">
        <f aca="false">IF(C1208="","",IFERROR(INDEX('Cadastro Mestre'!$C$5:$C$504,MATCH(C1208,'Cadastro Mestre'!$A$5:$A$504,0)),"código não encontrado"))</f>
        <v/>
      </c>
      <c r="E1208" s="24" t="str">
        <f aca="false">IF(C1208="","",IFERROR(INDEX('Cadastro Mestre'!$Q$5:$Q$504,MATCH(C1208,'Cadastro Mestre'!$A$5:$A$504,0)),""))</f>
        <v/>
      </c>
      <c r="F1208" s="21"/>
      <c r="G1208" s="21"/>
      <c r="H1208" s="21"/>
      <c r="I1208" s="21"/>
    </row>
    <row r="1209" customFormat="false" ht="15" hidden="false" customHeight="false" outlineLevel="0" collapsed="false">
      <c r="A1209" s="25"/>
      <c r="B1209" s="21"/>
      <c r="C1209" s="21"/>
      <c r="D1209" s="26" t="str">
        <f aca="false">IF(C1209="","",IFERROR(INDEX('Cadastro Mestre'!$C$5:$C$504,MATCH(C1209,'Cadastro Mestre'!$A$5:$A$504,0)),"código não encontrado"))</f>
        <v/>
      </c>
      <c r="E1209" s="24" t="str">
        <f aca="false">IF(C1209="","",IFERROR(INDEX('Cadastro Mestre'!$Q$5:$Q$504,MATCH(C1209,'Cadastro Mestre'!$A$5:$A$504,0)),""))</f>
        <v/>
      </c>
      <c r="F1209" s="21"/>
      <c r="G1209" s="21"/>
      <c r="H1209" s="21"/>
      <c r="I1209" s="21"/>
    </row>
    <row r="1210" customFormat="false" ht="15" hidden="false" customHeight="false" outlineLevel="0" collapsed="false">
      <c r="A1210" s="25"/>
      <c r="B1210" s="21"/>
      <c r="C1210" s="21"/>
      <c r="D1210" s="26" t="str">
        <f aca="false">IF(C1210="","",IFERROR(INDEX('Cadastro Mestre'!$C$5:$C$504,MATCH(C1210,'Cadastro Mestre'!$A$5:$A$504,0)),"código não encontrado"))</f>
        <v/>
      </c>
      <c r="E1210" s="24" t="str">
        <f aca="false">IF(C1210="","",IFERROR(INDEX('Cadastro Mestre'!$Q$5:$Q$504,MATCH(C1210,'Cadastro Mestre'!$A$5:$A$504,0)),""))</f>
        <v/>
      </c>
      <c r="F1210" s="21"/>
      <c r="G1210" s="21"/>
      <c r="H1210" s="21"/>
      <c r="I1210" s="21"/>
    </row>
    <row r="1211" customFormat="false" ht="15" hidden="false" customHeight="false" outlineLevel="0" collapsed="false">
      <c r="A1211" s="25"/>
      <c r="B1211" s="21"/>
      <c r="C1211" s="21"/>
      <c r="D1211" s="26" t="str">
        <f aca="false">IF(C1211="","",IFERROR(INDEX('Cadastro Mestre'!$C$5:$C$504,MATCH(C1211,'Cadastro Mestre'!$A$5:$A$504,0)),"código não encontrado"))</f>
        <v/>
      </c>
      <c r="E1211" s="24" t="str">
        <f aca="false">IF(C1211="","",IFERROR(INDEX('Cadastro Mestre'!$Q$5:$Q$504,MATCH(C1211,'Cadastro Mestre'!$A$5:$A$504,0)),""))</f>
        <v/>
      </c>
      <c r="F1211" s="21"/>
      <c r="G1211" s="21"/>
      <c r="H1211" s="21"/>
      <c r="I1211" s="21"/>
    </row>
    <row r="1212" customFormat="false" ht="15" hidden="false" customHeight="false" outlineLevel="0" collapsed="false">
      <c r="A1212" s="25"/>
      <c r="B1212" s="21"/>
      <c r="C1212" s="21"/>
      <c r="D1212" s="26" t="str">
        <f aca="false">IF(C1212="","",IFERROR(INDEX('Cadastro Mestre'!$C$5:$C$504,MATCH(C1212,'Cadastro Mestre'!$A$5:$A$504,0)),"código não encontrado"))</f>
        <v/>
      </c>
      <c r="E1212" s="24" t="str">
        <f aca="false">IF(C1212="","",IFERROR(INDEX('Cadastro Mestre'!$Q$5:$Q$504,MATCH(C1212,'Cadastro Mestre'!$A$5:$A$504,0)),""))</f>
        <v/>
      </c>
      <c r="F1212" s="21"/>
      <c r="G1212" s="21"/>
      <c r="H1212" s="21"/>
      <c r="I1212" s="21"/>
    </row>
    <row r="1213" customFormat="false" ht="15" hidden="false" customHeight="false" outlineLevel="0" collapsed="false">
      <c r="A1213" s="25"/>
      <c r="B1213" s="21"/>
      <c r="C1213" s="21"/>
      <c r="D1213" s="26" t="str">
        <f aca="false">IF(C1213="","",IFERROR(INDEX('Cadastro Mestre'!$C$5:$C$504,MATCH(C1213,'Cadastro Mestre'!$A$5:$A$504,0)),"código não encontrado"))</f>
        <v/>
      </c>
      <c r="E1213" s="24" t="str">
        <f aca="false">IF(C1213="","",IFERROR(INDEX('Cadastro Mestre'!$Q$5:$Q$504,MATCH(C1213,'Cadastro Mestre'!$A$5:$A$504,0)),""))</f>
        <v/>
      </c>
      <c r="F1213" s="21"/>
      <c r="G1213" s="21"/>
      <c r="H1213" s="21"/>
      <c r="I1213" s="21"/>
    </row>
    <row r="1214" customFormat="false" ht="15" hidden="false" customHeight="false" outlineLevel="0" collapsed="false">
      <c r="A1214" s="25"/>
      <c r="B1214" s="21"/>
      <c r="C1214" s="21"/>
      <c r="D1214" s="26" t="str">
        <f aca="false">IF(C1214="","",IFERROR(INDEX('Cadastro Mestre'!$C$5:$C$504,MATCH(C1214,'Cadastro Mestre'!$A$5:$A$504,0)),"código não encontrado"))</f>
        <v/>
      </c>
      <c r="E1214" s="24" t="str">
        <f aca="false">IF(C1214="","",IFERROR(INDEX('Cadastro Mestre'!$Q$5:$Q$504,MATCH(C1214,'Cadastro Mestre'!$A$5:$A$504,0)),""))</f>
        <v/>
      </c>
      <c r="F1214" s="21"/>
      <c r="G1214" s="21"/>
      <c r="H1214" s="21"/>
      <c r="I1214" s="21"/>
    </row>
    <row r="1215" customFormat="false" ht="15" hidden="false" customHeight="false" outlineLevel="0" collapsed="false">
      <c r="A1215" s="25"/>
      <c r="B1215" s="21"/>
      <c r="C1215" s="21"/>
      <c r="D1215" s="26" t="str">
        <f aca="false">IF(C1215="","",IFERROR(INDEX('Cadastro Mestre'!$C$5:$C$504,MATCH(C1215,'Cadastro Mestre'!$A$5:$A$504,0)),"código não encontrado"))</f>
        <v/>
      </c>
      <c r="E1215" s="24" t="str">
        <f aca="false">IF(C1215="","",IFERROR(INDEX('Cadastro Mestre'!$Q$5:$Q$504,MATCH(C1215,'Cadastro Mestre'!$A$5:$A$504,0)),""))</f>
        <v/>
      </c>
      <c r="F1215" s="21"/>
      <c r="G1215" s="21"/>
      <c r="H1215" s="21"/>
      <c r="I1215" s="21"/>
    </row>
    <row r="1216" customFormat="false" ht="15" hidden="false" customHeight="false" outlineLevel="0" collapsed="false">
      <c r="A1216" s="25"/>
      <c r="B1216" s="21"/>
      <c r="C1216" s="21"/>
      <c r="D1216" s="26" t="str">
        <f aca="false">IF(C1216="","",IFERROR(INDEX('Cadastro Mestre'!$C$5:$C$504,MATCH(C1216,'Cadastro Mestre'!$A$5:$A$504,0)),"código não encontrado"))</f>
        <v/>
      </c>
      <c r="E1216" s="24" t="str">
        <f aca="false">IF(C1216="","",IFERROR(INDEX('Cadastro Mestre'!$Q$5:$Q$504,MATCH(C1216,'Cadastro Mestre'!$A$5:$A$504,0)),""))</f>
        <v/>
      </c>
      <c r="F1216" s="21"/>
      <c r="G1216" s="21"/>
      <c r="H1216" s="21"/>
      <c r="I1216" s="21"/>
    </row>
    <row r="1217" customFormat="false" ht="15" hidden="false" customHeight="false" outlineLevel="0" collapsed="false">
      <c r="A1217" s="25"/>
      <c r="B1217" s="21"/>
      <c r="C1217" s="21"/>
      <c r="D1217" s="26" t="str">
        <f aca="false">IF(C1217="","",IFERROR(INDEX('Cadastro Mestre'!$C$5:$C$504,MATCH(C1217,'Cadastro Mestre'!$A$5:$A$504,0)),"código não encontrado"))</f>
        <v/>
      </c>
      <c r="E1217" s="24" t="str">
        <f aca="false">IF(C1217="","",IFERROR(INDEX('Cadastro Mestre'!$Q$5:$Q$504,MATCH(C1217,'Cadastro Mestre'!$A$5:$A$504,0)),""))</f>
        <v/>
      </c>
      <c r="F1217" s="21"/>
      <c r="G1217" s="21"/>
      <c r="H1217" s="21"/>
      <c r="I1217" s="21"/>
    </row>
    <row r="1218" customFormat="false" ht="15" hidden="false" customHeight="false" outlineLevel="0" collapsed="false">
      <c r="A1218" s="25"/>
      <c r="B1218" s="21"/>
      <c r="C1218" s="21"/>
      <c r="D1218" s="26" t="str">
        <f aca="false">IF(C1218="","",IFERROR(INDEX('Cadastro Mestre'!$C$5:$C$504,MATCH(C1218,'Cadastro Mestre'!$A$5:$A$504,0)),"código não encontrado"))</f>
        <v/>
      </c>
      <c r="E1218" s="24" t="str">
        <f aca="false">IF(C1218="","",IFERROR(INDEX('Cadastro Mestre'!$Q$5:$Q$504,MATCH(C1218,'Cadastro Mestre'!$A$5:$A$504,0)),""))</f>
        <v/>
      </c>
      <c r="F1218" s="21"/>
      <c r="G1218" s="21"/>
      <c r="H1218" s="21"/>
      <c r="I1218" s="21"/>
    </row>
    <row r="1219" customFormat="false" ht="15" hidden="false" customHeight="false" outlineLevel="0" collapsed="false">
      <c r="A1219" s="25"/>
      <c r="B1219" s="21"/>
      <c r="C1219" s="21"/>
      <c r="D1219" s="26" t="str">
        <f aca="false">IF(C1219="","",IFERROR(INDEX('Cadastro Mestre'!$C$5:$C$504,MATCH(C1219,'Cadastro Mestre'!$A$5:$A$504,0)),"código não encontrado"))</f>
        <v/>
      </c>
      <c r="E1219" s="24" t="str">
        <f aca="false">IF(C1219="","",IFERROR(INDEX('Cadastro Mestre'!$Q$5:$Q$504,MATCH(C1219,'Cadastro Mestre'!$A$5:$A$504,0)),""))</f>
        <v/>
      </c>
      <c r="F1219" s="21"/>
      <c r="G1219" s="21"/>
      <c r="H1219" s="21"/>
      <c r="I1219" s="21"/>
    </row>
    <row r="1220" customFormat="false" ht="15" hidden="false" customHeight="false" outlineLevel="0" collapsed="false">
      <c r="A1220" s="25"/>
      <c r="B1220" s="21"/>
      <c r="C1220" s="21"/>
      <c r="D1220" s="26" t="str">
        <f aca="false">IF(C1220="","",IFERROR(INDEX('Cadastro Mestre'!$C$5:$C$504,MATCH(C1220,'Cadastro Mestre'!$A$5:$A$504,0)),"código não encontrado"))</f>
        <v/>
      </c>
      <c r="E1220" s="24" t="str">
        <f aca="false">IF(C1220="","",IFERROR(INDEX('Cadastro Mestre'!$Q$5:$Q$504,MATCH(C1220,'Cadastro Mestre'!$A$5:$A$504,0)),""))</f>
        <v/>
      </c>
      <c r="F1220" s="21"/>
      <c r="G1220" s="21"/>
      <c r="H1220" s="21"/>
      <c r="I1220" s="21"/>
    </row>
    <row r="1221" customFormat="false" ht="15" hidden="false" customHeight="false" outlineLevel="0" collapsed="false">
      <c r="A1221" s="25"/>
      <c r="B1221" s="21"/>
      <c r="C1221" s="21"/>
      <c r="D1221" s="26" t="str">
        <f aca="false">IF(C1221="","",IFERROR(INDEX('Cadastro Mestre'!$C$5:$C$504,MATCH(C1221,'Cadastro Mestre'!$A$5:$A$504,0)),"código não encontrado"))</f>
        <v/>
      </c>
      <c r="E1221" s="24" t="str">
        <f aca="false">IF(C1221="","",IFERROR(INDEX('Cadastro Mestre'!$Q$5:$Q$504,MATCH(C1221,'Cadastro Mestre'!$A$5:$A$504,0)),""))</f>
        <v/>
      </c>
      <c r="F1221" s="21"/>
      <c r="G1221" s="21"/>
      <c r="H1221" s="21"/>
      <c r="I1221" s="21"/>
    </row>
    <row r="1222" customFormat="false" ht="15" hidden="false" customHeight="false" outlineLevel="0" collapsed="false">
      <c r="A1222" s="25"/>
      <c r="B1222" s="21"/>
      <c r="C1222" s="21"/>
      <c r="D1222" s="26" t="str">
        <f aca="false">IF(C1222="","",IFERROR(INDEX('Cadastro Mestre'!$C$5:$C$504,MATCH(C1222,'Cadastro Mestre'!$A$5:$A$504,0)),"código não encontrado"))</f>
        <v/>
      </c>
      <c r="E1222" s="24" t="str">
        <f aca="false">IF(C1222="","",IFERROR(INDEX('Cadastro Mestre'!$Q$5:$Q$504,MATCH(C1222,'Cadastro Mestre'!$A$5:$A$504,0)),""))</f>
        <v/>
      </c>
      <c r="F1222" s="21"/>
      <c r="G1222" s="21"/>
      <c r="H1222" s="21"/>
      <c r="I1222" s="21"/>
    </row>
    <row r="1223" customFormat="false" ht="15" hidden="false" customHeight="false" outlineLevel="0" collapsed="false">
      <c r="A1223" s="25"/>
      <c r="B1223" s="21"/>
      <c r="C1223" s="21"/>
      <c r="D1223" s="26" t="str">
        <f aca="false">IF(C1223="","",IFERROR(INDEX('Cadastro Mestre'!$C$5:$C$504,MATCH(C1223,'Cadastro Mestre'!$A$5:$A$504,0)),"código não encontrado"))</f>
        <v/>
      </c>
      <c r="E1223" s="24" t="str">
        <f aca="false">IF(C1223="","",IFERROR(INDEX('Cadastro Mestre'!$Q$5:$Q$504,MATCH(C1223,'Cadastro Mestre'!$A$5:$A$504,0)),""))</f>
        <v/>
      </c>
      <c r="F1223" s="21"/>
      <c r="G1223" s="21"/>
      <c r="H1223" s="21"/>
      <c r="I1223" s="21"/>
    </row>
    <row r="1224" customFormat="false" ht="15" hidden="false" customHeight="false" outlineLevel="0" collapsed="false">
      <c r="A1224" s="25"/>
      <c r="B1224" s="21"/>
      <c r="C1224" s="21"/>
      <c r="D1224" s="26" t="str">
        <f aca="false">IF(C1224="","",IFERROR(INDEX('Cadastro Mestre'!$C$5:$C$504,MATCH(C1224,'Cadastro Mestre'!$A$5:$A$504,0)),"código não encontrado"))</f>
        <v/>
      </c>
      <c r="E1224" s="24" t="str">
        <f aca="false">IF(C1224="","",IFERROR(INDEX('Cadastro Mestre'!$Q$5:$Q$504,MATCH(C1224,'Cadastro Mestre'!$A$5:$A$504,0)),""))</f>
        <v/>
      </c>
      <c r="F1224" s="21"/>
      <c r="G1224" s="21"/>
      <c r="H1224" s="21"/>
      <c r="I1224" s="21"/>
    </row>
    <row r="1225" customFormat="false" ht="15" hidden="false" customHeight="false" outlineLevel="0" collapsed="false">
      <c r="A1225" s="25"/>
      <c r="B1225" s="21"/>
      <c r="C1225" s="21"/>
      <c r="D1225" s="26" t="str">
        <f aca="false">IF(C1225="","",IFERROR(INDEX('Cadastro Mestre'!$C$5:$C$504,MATCH(C1225,'Cadastro Mestre'!$A$5:$A$504,0)),"código não encontrado"))</f>
        <v/>
      </c>
      <c r="E1225" s="24" t="str">
        <f aca="false">IF(C1225="","",IFERROR(INDEX('Cadastro Mestre'!$Q$5:$Q$504,MATCH(C1225,'Cadastro Mestre'!$A$5:$A$504,0)),""))</f>
        <v/>
      </c>
      <c r="F1225" s="21"/>
      <c r="G1225" s="21"/>
      <c r="H1225" s="21"/>
      <c r="I1225" s="21"/>
    </row>
    <row r="1226" customFormat="false" ht="15" hidden="false" customHeight="false" outlineLevel="0" collapsed="false">
      <c r="A1226" s="25"/>
      <c r="B1226" s="21"/>
      <c r="C1226" s="21"/>
      <c r="D1226" s="26" t="str">
        <f aca="false">IF(C1226="","",IFERROR(INDEX('Cadastro Mestre'!$C$5:$C$504,MATCH(C1226,'Cadastro Mestre'!$A$5:$A$504,0)),"código não encontrado"))</f>
        <v/>
      </c>
      <c r="E1226" s="24" t="str">
        <f aca="false">IF(C1226="","",IFERROR(INDEX('Cadastro Mestre'!$Q$5:$Q$504,MATCH(C1226,'Cadastro Mestre'!$A$5:$A$504,0)),""))</f>
        <v/>
      </c>
      <c r="F1226" s="21"/>
      <c r="G1226" s="21"/>
      <c r="H1226" s="21"/>
      <c r="I1226" s="21"/>
    </row>
    <row r="1227" customFormat="false" ht="15" hidden="false" customHeight="false" outlineLevel="0" collapsed="false">
      <c r="A1227" s="25"/>
      <c r="B1227" s="21"/>
      <c r="C1227" s="21"/>
      <c r="D1227" s="26" t="str">
        <f aca="false">IF(C1227="","",IFERROR(INDEX('Cadastro Mestre'!$C$5:$C$504,MATCH(C1227,'Cadastro Mestre'!$A$5:$A$504,0)),"código não encontrado"))</f>
        <v/>
      </c>
      <c r="E1227" s="24" t="str">
        <f aca="false">IF(C1227="","",IFERROR(INDEX('Cadastro Mestre'!$Q$5:$Q$504,MATCH(C1227,'Cadastro Mestre'!$A$5:$A$504,0)),""))</f>
        <v/>
      </c>
      <c r="F1227" s="21"/>
      <c r="G1227" s="21"/>
      <c r="H1227" s="21"/>
      <c r="I1227" s="21"/>
    </row>
    <row r="1228" customFormat="false" ht="15" hidden="false" customHeight="false" outlineLevel="0" collapsed="false">
      <c r="A1228" s="25"/>
      <c r="B1228" s="21"/>
      <c r="C1228" s="21"/>
      <c r="D1228" s="26" t="str">
        <f aca="false">IF(C1228="","",IFERROR(INDEX('Cadastro Mestre'!$C$5:$C$504,MATCH(C1228,'Cadastro Mestre'!$A$5:$A$504,0)),"código não encontrado"))</f>
        <v/>
      </c>
      <c r="E1228" s="24" t="str">
        <f aca="false">IF(C1228="","",IFERROR(INDEX('Cadastro Mestre'!$Q$5:$Q$504,MATCH(C1228,'Cadastro Mestre'!$A$5:$A$504,0)),""))</f>
        <v/>
      </c>
      <c r="F1228" s="21"/>
      <c r="G1228" s="21"/>
      <c r="H1228" s="21"/>
      <c r="I1228" s="21"/>
    </row>
    <row r="1229" customFormat="false" ht="15" hidden="false" customHeight="false" outlineLevel="0" collapsed="false">
      <c r="A1229" s="25"/>
      <c r="B1229" s="21"/>
      <c r="C1229" s="21"/>
      <c r="D1229" s="26" t="str">
        <f aca="false">IF(C1229="","",IFERROR(INDEX('Cadastro Mestre'!$C$5:$C$504,MATCH(C1229,'Cadastro Mestre'!$A$5:$A$504,0)),"código não encontrado"))</f>
        <v/>
      </c>
      <c r="E1229" s="24" t="str">
        <f aca="false">IF(C1229="","",IFERROR(INDEX('Cadastro Mestre'!$Q$5:$Q$504,MATCH(C1229,'Cadastro Mestre'!$A$5:$A$504,0)),""))</f>
        <v/>
      </c>
      <c r="F1229" s="21"/>
      <c r="G1229" s="21"/>
      <c r="H1229" s="21"/>
      <c r="I1229" s="21"/>
    </row>
    <row r="1230" customFormat="false" ht="15" hidden="false" customHeight="false" outlineLevel="0" collapsed="false">
      <c r="A1230" s="25"/>
      <c r="B1230" s="21"/>
      <c r="C1230" s="21"/>
      <c r="D1230" s="26" t="str">
        <f aca="false">IF(C1230="","",IFERROR(INDEX('Cadastro Mestre'!$C$5:$C$504,MATCH(C1230,'Cadastro Mestre'!$A$5:$A$504,0)),"código não encontrado"))</f>
        <v/>
      </c>
      <c r="E1230" s="24" t="str">
        <f aca="false">IF(C1230="","",IFERROR(INDEX('Cadastro Mestre'!$Q$5:$Q$504,MATCH(C1230,'Cadastro Mestre'!$A$5:$A$504,0)),""))</f>
        <v/>
      </c>
      <c r="F1230" s="21"/>
      <c r="G1230" s="21"/>
      <c r="H1230" s="21"/>
      <c r="I1230" s="21"/>
    </row>
    <row r="1231" customFormat="false" ht="15" hidden="false" customHeight="false" outlineLevel="0" collapsed="false">
      <c r="A1231" s="25"/>
      <c r="B1231" s="21"/>
      <c r="C1231" s="21"/>
      <c r="D1231" s="26" t="str">
        <f aca="false">IF(C1231="","",IFERROR(INDEX('Cadastro Mestre'!$C$5:$C$504,MATCH(C1231,'Cadastro Mestre'!$A$5:$A$504,0)),"código não encontrado"))</f>
        <v/>
      </c>
      <c r="E1231" s="24" t="str">
        <f aca="false">IF(C1231="","",IFERROR(INDEX('Cadastro Mestre'!$Q$5:$Q$504,MATCH(C1231,'Cadastro Mestre'!$A$5:$A$504,0)),""))</f>
        <v/>
      </c>
      <c r="F1231" s="21"/>
      <c r="G1231" s="21"/>
      <c r="H1231" s="21"/>
      <c r="I1231" s="21"/>
    </row>
    <row r="1232" customFormat="false" ht="15" hidden="false" customHeight="false" outlineLevel="0" collapsed="false">
      <c r="A1232" s="25"/>
      <c r="B1232" s="21"/>
      <c r="C1232" s="21"/>
      <c r="D1232" s="26" t="str">
        <f aca="false">IF(C1232="","",IFERROR(INDEX('Cadastro Mestre'!$C$5:$C$504,MATCH(C1232,'Cadastro Mestre'!$A$5:$A$504,0)),"código não encontrado"))</f>
        <v/>
      </c>
      <c r="E1232" s="24" t="str">
        <f aca="false">IF(C1232="","",IFERROR(INDEX('Cadastro Mestre'!$Q$5:$Q$504,MATCH(C1232,'Cadastro Mestre'!$A$5:$A$504,0)),""))</f>
        <v/>
      </c>
      <c r="F1232" s="21"/>
      <c r="G1232" s="21"/>
      <c r="H1232" s="21"/>
      <c r="I1232" s="21"/>
    </row>
    <row r="1233" customFormat="false" ht="15" hidden="false" customHeight="false" outlineLevel="0" collapsed="false">
      <c r="A1233" s="25"/>
      <c r="B1233" s="21"/>
      <c r="C1233" s="21"/>
      <c r="D1233" s="26" t="str">
        <f aca="false">IF(C1233="","",IFERROR(INDEX('Cadastro Mestre'!$C$5:$C$504,MATCH(C1233,'Cadastro Mestre'!$A$5:$A$504,0)),"código não encontrado"))</f>
        <v/>
      </c>
      <c r="E1233" s="24" t="str">
        <f aca="false">IF(C1233="","",IFERROR(INDEX('Cadastro Mestre'!$Q$5:$Q$504,MATCH(C1233,'Cadastro Mestre'!$A$5:$A$504,0)),""))</f>
        <v/>
      </c>
      <c r="F1233" s="21"/>
      <c r="G1233" s="21"/>
      <c r="H1233" s="21"/>
      <c r="I1233" s="21"/>
    </row>
    <row r="1234" customFormat="false" ht="15" hidden="false" customHeight="false" outlineLevel="0" collapsed="false">
      <c r="A1234" s="25"/>
      <c r="B1234" s="21"/>
      <c r="C1234" s="21"/>
      <c r="D1234" s="26" t="str">
        <f aca="false">IF(C1234="","",IFERROR(INDEX('Cadastro Mestre'!$C$5:$C$504,MATCH(C1234,'Cadastro Mestre'!$A$5:$A$504,0)),"código não encontrado"))</f>
        <v/>
      </c>
      <c r="E1234" s="24" t="str">
        <f aca="false">IF(C1234="","",IFERROR(INDEX('Cadastro Mestre'!$Q$5:$Q$504,MATCH(C1234,'Cadastro Mestre'!$A$5:$A$504,0)),""))</f>
        <v/>
      </c>
      <c r="F1234" s="21"/>
      <c r="G1234" s="21"/>
      <c r="H1234" s="21"/>
      <c r="I1234" s="21"/>
    </row>
    <row r="1235" customFormat="false" ht="15" hidden="false" customHeight="false" outlineLevel="0" collapsed="false">
      <c r="A1235" s="25"/>
      <c r="B1235" s="21"/>
      <c r="C1235" s="21"/>
      <c r="D1235" s="26" t="str">
        <f aca="false">IF(C1235="","",IFERROR(INDEX('Cadastro Mestre'!$C$5:$C$504,MATCH(C1235,'Cadastro Mestre'!$A$5:$A$504,0)),"código não encontrado"))</f>
        <v/>
      </c>
      <c r="E1235" s="24" t="str">
        <f aca="false">IF(C1235="","",IFERROR(INDEX('Cadastro Mestre'!$Q$5:$Q$504,MATCH(C1235,'Cadastro Mestre'!$A$5:$A$504,0)),""))</f>
        <v/>
      </c>
      <c r="F1235" s="21"/>
      <c r="G1235" s="21"/>
      <c r="H1235" s="21"/>
      <c r="I1235" s="21"/>
    </row>
    <row r="1236" customFormat="false" ht="15" hidden="false" customHeight="false" outlineLevel="0" collapsed="false">
      <c r="A1236" s="25"/>
      <c r="B1236" s="21"/>
      <c r="C1236" s="21"/>
      <c r="D1236" s="26" t="str">
        <f aca="false">IF(C1236="","",IFERROR(INDEX('Cadastro Mestre'!$C$5:$C$504,MATCH(C1236,'Cadastro Mestre'!$A$5:$A$504,0)),"código não encontrado"))</f>
        <v/>
      </c>
      <c r="E1236" s="24" t="str">
        <f aca="false">IF(C1236="","",IFERROR(INDEX('Cadastro Mestre'!$Q$5:$Q$504,MATCH(C1236,'Cadastro Mestre'!$A$5:$A$504,0)),""))</f>
        <v/>
      </c>
      <c r="F1236" s="21"/>
      <c r="G1236" s="21"/>
      <c r="H1236" s="21"/>
      <c r="I1236" s="21"/>
    </row>
    <row r="1237" customFormat="false" ht="15" hidden="false" customHeight="false" outlineLevel="0" collapsed="false">
      <c r="A1237" s="25"/>
      <c r="B1237" s="21"/>
      <c r="C1237" s="21"/>
      <c r="D1237" s="26" t="str">
        <f aca="false">IF(C1237="","",IFERROR(INDEX('Cadastro Mestre'!$C$5:$C$504,MATCH(C1237,'Cadastro Mestre'!$A$5:$A$504,0)),"código não encontrado"))</f>
        <v/>
      </c>
      <c r="E1237" s="24" t="str">
        <f aca="false">IF(C1237="","",IFERROR(INDEX('Cadastro Mestre'!$Q$5:$Q$504,MATCH(C1237,'Cadastro Mestre'!$A$5:$A$504,0)),""))</f>
        <v/>
      </c>
      <c r="F1237" s="21"/>
      <c r="G1237" s="21"/>
      <c r="H1237" s="21"/>
      <c r="I1237" s="21"/>
    </row>
    <row r="1238" customFormat="false" ht="15" hidden="false" customHeight="false" outlineLevel="0" collapsed="false">
      <c r="A1238" s="25"/>
      <c r="B1238" s="21"/>
      <c r="C1238" s="21"/>
      <c r="D1238" s="26" t="str">
        <f aca="false">IF(C1238="","",IFERROR(INDEX('Cadastro Mestre'!$C$5:$C$504,MATCH(C1238,'Cadastro Mestre'!$A$5:$A$504,0)),"código não encontrado"))</f>
        <v/>
      </c>
      <c r="E1238" s="24" t="str">
        <f aca="false">IF(C1238="","",IFERROR(INDEX('Cadastro Mestre'!$Q$5:$Q$504,MATCH(C1238,'Cadastro Mestre'!$A$5:$A$504,0)),""))</f>
        <v/>
      </c>
      <c r="F1238" s="21"/>
      <c r="G1238" s="21"/>
      <c r="H1238" s="21"/>
      <c r="I1238" s="21"/>
    </row>
    <row r="1239" customFormat="false" ht="15" hidden="false" customHeight="false" outlineLevel="0" collapsed="false">
      <c r="A1239" s="25"/>
      <c r="B1239" s="21"/>
      <c r="C1239" s="21"/>
      <c r="D1239" s="26" t="str">
        <f aca="false">IF(C1239="","",IFERROR(INDEX('Cadastro Mestre'!$C$5:$C$504,MATCH(C1239,'Cadastro Mestre'!$A$5:$A$504,0)),"código não encontrado"))</f>
        <v/>
      </c>
      <c r="E1239" s="24" t="str">
        <f aca="false">IF(C1239="","",IFERROR(INDEX('Cadastro Mestre'!$Q$5:$Q$504,MATCH(C1239,'Cadastro Mestre'!$A$5:$A$504,0)),""))</f>
        <v/>
      </c>
      <c r="F1239" s="21"/>
      <c r="G1239" s="21"/>
      <c r="H1239" s="21"/>
      <c r="I1239" s="21"/>
    </row>
    <row r="1240" customFormat="false" ht="15" hidden="false" customHeight="false" outlineLevel="0" collapsed="false">
      <c r="A1240" s="25"/>
      <c r="B1240" s="21"/>
      <c r="C1240" s="21"/>
      <c r="D1240" s="26" t="str">
        <f aca="false">IF(C1240="","",IFERROR(INDEX('Cadastro Mestre'!$C$5:$C$504,MATCH(C1240,'Cadastro Mestre'!$A$5:$A$504,0)),"código não encontrado"))</f>
        <v/>
      </c>
      <c r="E1240" s="24" t="str">
        <f aca="false">IF(C1240="","",IFERROR(INDEX('Cadastro Mestre'!$Q$5:$Q$504,MATCH(C1240,'Cadastro Mestre'!$A$5:$A$504,0)),""))</f>
        <v/>
      </c>
      <c r="F1240" s="21"/>
      <c r="G1240" s="21"/>
      <c r="H1240" s="21"/>
      <c r="I1240" s="21"/>
    </row>
    <row r="1241" customFormat="false" ht="15" hidden="false" customHeight="false" outlineLevel="0" collapsed="false">
      <c r="A1241" s="25"/>
      <c r="B1241" s="21"/>
      <c r="C1241" s="21"/>
      <c r="D1241" s="26" t="str">
        <f aca="false">IF(C1241="","",IFERROR(INDEX('Cadastro Mestre'!$C$5:$C$504,MATCH(C1241,'Cadastro Mestre'!$A$5:$A$504,0)),"código não encontrado"))</f>
        <v/>
      </c>
      <c r="E1241" s="24" t="str">
        <f aca="false">IF(C1241="","",IFERROR(INDEX('Cadastro Mestre'!$Q$5:$Q$504,MATCH(C1241,'Cadastro Mestre'!$A$5:$A$504,0)),""))</f>
        <v/>
      </c>
      <c r="F1241" s="21"/>
      <c r="G1241" s="21"/>
      <c r="H1241" s="21"/>
      <c r="I1241" s="21"/>
    </row>
    <row r="1242" customFormat="false" ht="15" hidden="false" customHeight="false" outlineLevel="0" collapsed="false">
      <c r="A1242" s="25"/>
      <c r="B1242" s="21"/>
      <c r="C1242" s="21"/>
      <c r="D1242" s="26" t="str">
        <f aca="false">IF(C1242="","",IFERROR(INDEX('Cadastro Mestre'!$C$5:$C$504,MATCH(C1242,'Cadastro Mestre'!$A$5:$A$504,0)),"código não encontrado"))</f>
        <v/>
      </c>
      <c r="E1242" s="24" t="str">
        <f aca="false">IF(C1242="","",IFERROR(INDEX('Cadastro Mestre'!$Q$5:$Q$504,MATCH(C1242,'Cadastro Mestre'!$A$5:$A$504,0)),""))</f>
        <v/>
      </c>
      <c r="F1242" s="21"/>
      <c r="G1242" s="21"/>
      <c r="H1242" s="21"/>
      <c r="I1242" s="21"/>
    </row>
    <row r="1243" customFormat="false" ht="15" hidden="false" customHeight="false" outlineLevel="0" collapsed="false">
      <c r="A1243" s="25"/>
      <c r="B1243" s="21"/>
      <c r="C1243" s="21"/>
      <c r="D1243" s="26" t="str">
        <f aca="false">IF(C1243="","",IFERROR(INDEX('Cadastro Mestre'!$C$5:$C$504,MATCH(C1243,'Cadastro Mestre'!$A$5:$A$504,0)),"código não encontrado"))</f>
        <v/>
      </c>
      <c r="E1243" s="24" t="str">
        <f aca="false">IF(C1243="","",IFERROR(INDEX('Cadastro Mestre'!$Q$5:$Q$504,MATCH(C1243,'Cadastro Mestre'!$A$5:$A$504,0)),""))</f>
        <v/>
      </c>
      <c r="F1243" s="21"/>
      <c r="G1243" s="21"/>
      <c r="H1243" s="21"/>
      <c r="I1243" s="21"/>
    </row>
    <row r="1244" customFormat="false" ht="15" hidden="false" customHeight="false" outlineLevel="0" collapsed="false">
      <c r="A1244" s="25"/>
      <c r="B1244" s="21"/>
      <c r="C1244" s="21"/>
      <c r="D1244" s="26" t="str">
        <f aca="false">IF(C1244="","",IFERROR(INDEX('Cadastro Mestre'!$C$5:$C$504,MATCH(C1244,'Cadastro Mestre'!$A$5:$A$504,0)),"código não encontrado"))</f>
        <v/>
      </c>
      <c r="E1244" s="24" t="str">
        <f aca="false">IF(C1244="","",IFERROR(INDEX('Cadastro Mestre'!$Q$5:$Q$504,MATCH(C1244,'Cadastro Mestre'!$A$5:$A$504,0)),""))</f>
        <v/>
      </c>
      <c r="F1244" s="21"/>
      <c r="G1244" s="21"/>
      <c r="H1244" s="21"/>
      <c r="I1244" s="21"/>
    </row>
    <row r="1245" customFormat="false" ht="15" hidden="false" customHeight="false" outlineLevel="0" collapsed="false">
      <c r="A1245" s="25"/>
      <c r="B1245" s="21"/>
      <c r="C1245" s="21"/>
      <c r="D1245" s="26" t="str">
        <f aca="false">IF(C1245="","",IFERROR(INDEX('Cadastro Mestre'!$C$5:$C$504,MATCH(C1245,'Cadastro Mestre'!$A$5:$A$504,0)),"código não encontrado"))</f>
        <v/>
      </c>
      <c r="E1245" s="24" t="str">
        <f aca="false">IF(C1245="","",IFERROR(INDEX('Cadastro Mestre'!$Q$5:$Q$504,MATCH(C1245,'Cadastro Mestre'!$A$5:$A$504,0)),""))</f>
        <v/>
      </c>
      <c r="F1245" s="21"/>
      <c r="G1245" s="21"/>
      <c r="H1245" s="21"/>
      <c r="I1245" s="21"/>
    </row>
    <row r="1246" customFormat="false" ht="15" hidden="false" customHeight="false" outlineLevel="0" collapsed="false">
      <c r="A1246" s="25"/>
      <c r="B1246" s="21"/>
      <c r="C1246" s="21"/>
      <c r="D1246" s="26" t="str">
        <f aca="false">IF(C1246="","",IFERROR(INDEX('Cadastro Mestre'!$C$5:$C$504,MATCH(C1246,'Cadastro Mestre'!$A$5:$A$504,0)),"código não encontrado"))</f>
        <v/>
      </c>
      <c r="E1246" s="24" t="str">
        <f aca="false">IF(C1246="","",IFERROR(INDEX('Cadastro Mestre'!$Q$5:$Q$504,MATCH(C1246,'Cadastro Mestre'!$A$5:$A$504,0)),""))</f>
        <v/>
      </c>
      <c r="F1246" s="21"/>
      <c r="G1246" s="21"/>
      <c r="H1246" s="21"/>
      <c r="I1246" s="21"/>
    </row>
    <row r="1247" customFormat="false" ht="15" hidden="false" customHeight="false" outlineLevel="0" collapsed="false">
      <c r="A1247" s="25"/>
      <c r="B1247" s="21"/>
      <c r="C1247" s="21"/>
      <c r="D1247" s="26" t="str">
        <f aca="false">IF(C1247="","",IFERROR(INDEX('Cadastro Mestre'!$C$5:$C$504,MATCH(C1247,'Cadastro Mestre'!$A$5:$A$504,0)),"código não encontrado"))</f>
        <v/>
      </c>
      <c r="E1247" s="24" t="str">
        <f aca="false">IF(C1247="","",IFERROR(INDEX('Cadastro Mestre'!$Q$5:$Q$504,MATCH(C1247,'Cadastro Mestre'!$A$5:$A$504,0)),""))</f>
        <v/>
      </c>
      <c r="F1247" s="21"/>
      <c r="G1247" s="21"/>
      <c r="H1247" s="21"/>
      <c r="I1247" s="21"/>
    </row>
    <row r="1248" customFormat="false" ht="15" hidden="false" customHeight="false" outlineLevel="0" collapsed="false">
      <c r="A1248" s="25"/>
      <c r="B1248" s="21"/>
      <c r="C1248" s="21"/>
      <c r="D1248" s="26" t="str">
        <f aca="false">IF(C1248="","",IFERROR(INDEX('Cadastro Mestre'!$C$5:$C$504,MATCH(C1248,'Cadastro Mestre'!$A$5:$A$504,0)),"código não encontrado"))</f>
        <v/>
      </c>
      <c r="E1248" s="24" t="str">
        <f aca="false">IF(C1248="","",IFERROR(INDEX('Cadastro Mestre'!$Q$5:$Q$504,MATCH(C1248,'Cadastro Mestre'!$A$5:$A$504,0)),""))</f>
        <v/>
      </c>
      <c r="F1248" s="21"/>
      <c r="G1248" s="21"/>
      <c r="H1248" s="21"/>
      <c r="I1248" s="21"/>
    </row>
    <row r="1249" customFormat="false" ht="15" hidden="false" customHeight="false" outlineLevel="0" collapsed="false">
      <c r="A1249" s="25"/>
      <c r="B1249" s="21"/>
      <c r="C1249" s="21"/>
      <c r="D1249" s="26" t="str">
        <f aca="false">IF(C1249="","",IFERROR(INDEX('Cadastro Mestre'!$C$5:$C$504,MATCH(C1249,'Cadastro Mestre'!$A$5:$A$504,0)),"código não encontrado"))</f>
        <v/>
      </c>
      <c r="E1249" s="24" t="str">
        <f aca="false">IF(C1249="","",IFERROR(INDEX('Cadastro Mestre'!$Q$5:$Q$504,MATCH(C1249,'Cadastro Mestre'!$A$5:$A$504,0)),""))</f>
        <v/>
      </c>
      <c r="F1249" s="21"/>
      <c r="G1249" s="21"/>
      <c r="H1249" s="21"/>
      <c r="I1249" s="21"/>
    </row>
    <row r="1250" customFormat="false" ht="15" hidden="false" customHeight="false" outlineLevel="0" collapsed="false">
      <c r="A1250" s="25"/>
      <c r="B1250" s="21"/>
      <c r="C1250" s="21"/>
      <c r="D1250" s="26" t="str">
        <f aca="false">IF(C1250="","",IFERROR(INDEX('Cadastro Mestre'!$C$5:$C$504,MATCH(C1250,'Cadastro Mestre'!$A$5:$A$504,0)),"código não encontrado"))</f>
        <v/>
      </c>
      <c r="E1250" s="24" t="str">
        <f aca="false">IF(C1250="","",IFERROR(INDEX('Cadastro Mestre'!$Q$5:$Q$504,MATCH(C1250,'Cadastro Mestre'!$A$5:$A$504,0)),""))</f>
        <v/>
      </c>
      <c r="F1250" s="21"/>
      <c r="G1250" s="21"/>
      <c r="H1250" s="21"/>
      <c r="I1250" s="21"/>
    </row>
    <row r="1251" customFormat="false" ht="15" hidden="false" customHeight="false" outlineLevel="0" collapsed="false">
      <c r="A1251" s="25"/>
      <c r="B1251" s="21"/>
      <c r="C1251" s="21"/>
      <c r="D1251" s="26" t="str">
        <f aca="false">IF(C1251="","",IFERROR(INDEX('Cadastro Mestre'!$C$5:$C$504,MATCH(C1251,'Cadastro Mestre'!$A$5:$A$504,0)),"código não encontrado"))</f>
        <v/>
      </c>
      <c r="E1251" s="24" t="str">
        <f aca="false">IF(C1251="","",IFERROR(INDEX('Cadastro Mestre'!$Q$5:$Q$504,MATCH(C1251,'Cadastro Mestre'!$A$5:$A$504,0)),""))</f>
        <v/>
      </c>
      <c r="F1251" s="21"/>
      <c r="G1251" s="21"/>
      <c r="H1251" s="21"/>
      <c r="I1251" s="21"/>
    </row>
    <row r="1252" customFormat="false" ht="15" hidden="false" customHeight="false" outlineLevel="0" collapsed="false">
      <c r="A1252" s="25"/>
      <c r="B1252" s="21"/>
      <c r="C1252" s="21"/>
      <c r="D1252" s="26" t="str">
        <f aca="false">IF(C1252="","",IFERROR(INDEX('Cadastro Mestre'!$C$5:$C$504,MATCH(C1252,'Cadastro Mestre'!$A$5:$A$504,0)),"código não encontrado"))</f>
        <v/>
      </c>
      <c r="E1252" s="24" t="str">
        <f aca="false">IF(C1252="","",IFERROR(INDEX('Cadastro Mestre'!$Q$5:$Q$504,MATCH(C1252,'Cadastro Mestre'!$A$5:$A$504,0)),""))</f>
        <v/>
      </c>
      <c r="F1252" s="21"/>
      <c r="G1252" s="21"/>
      <c r="H1252" s="21"/>
      <c r="I1252" s="21"/>
    </row>
    <row r="1253" customFormat="false" ht="15" hidden="false" customHeight="false" outlineLevel="0" collapsed="false">
      <c r="A1253" s="25"/>
      <c r="B1253" s="21"/>
      <c r="C1253" s="21"/>
      <c r="D1253" s="26" t="str">
        <f aca="false">IF(C1253="","",IFERROR(INDEX('Cadastro Mestre'!$C$5:$C$504,MATCH(C1253,'Cadastro Mestre'!$A$5:$A$504,0)),"código não encontrado"))</f>
        <v/>
      </c>
      <c r="E1253" s="24" t="str">
        <f aca="false">IF(C1253="","",IFERROR(INDEX('Cadastro Mestre'!$Q$5:$Q$504,MATCH(C1253,'Cadastro Mestre'!$A$5:$A$504,0)),""))</f>
        <v/>
      </c>
      <c r="F1253" s="21"/>
      <c r="G1253" s="21"/>
      <c r="H1253" s="21"/>
      <c r="I1253" s="21"/>
    </row>
    <row r="1254" customFormat="false" ht="15" hidden="false" customHeight="false" outlineLevel="0" collapsed="false">
      <c r="A1254" s="25"/>
      <c r="B1254" s="21"/>
      <c r="C1254" s="21"/>
      <c r="D1254" s="26" t="str">
        <f aca="false">IF(C1254="","",IFERROR(INDEX('Cadastro Mestre'!$C$5:$C$504,MATCH(C1254,'Cadastro Mestre'!$A$5:$A$504,0)),"código não encontrado"))</f>
        <v/>
      </c>
      <c r="E1254" s="24" t="str">
        <f aca="false">IF(C1254="","",IFERROR(INDEX('Cadastro Mestre'!$Q$5:$Q$504,MATCH(C1254,'Cadastro Mestre'!$A$5:$A$504,0)),""))</f>
        <v/>
      </c>
      <c r="F1254" s="21"/>
      <c r="G1254" s="21"/>
      <c r="H1254" s="21"/>
      <c r="I1254" s="21"/>
    </row>
    <row r="1255" customFormat="false" ht="15" hidden="false" customHeight="false" outlineLevel="0" collapsed="false">
      <c r="A1255" s="25"/>
      <c r="B1255" s="21"/>
      <c r="C1255" s="21"/>
      <c r="D1255" s="26" t="str">
        <f aca="false">IF(C1255="","",IFERROR(INDEX('Cadastro Mestre'!$C$5:$C$504,MATCH(C1255,'Cadastro Mestre'!$A$5:$A$504,0)),"código não encontrado"))</f>
        <v/>
      </c>
      <c r="E1255" s="24" t="str">
        <f aca="false">IF(C1255="","",IFERROR(INDEX('Cadastro Mestre'!$Q$5:$Q$504,MATCH(C1255,'Cadastro Mestre'!$A$5:$A$504,0)),""))</f>
        <v/>
      </c>
      <c r="F1255" s="21"/>
      <c r="G1255" s="21"/>
      <c r="H1255" s="21"/>
      <c r="I1255" s="21"/>
    </row>
    <row r="1256" customFormat="false" ht="15" hidden="false" customHeight="false" outlineLevel="0" collapsed="false">
      <c r="A1256" s="25"/>
      <c r="B1256" s="21"/>
      <c r="C1256" s="21"/>
      <c r="D1256" s="26" t="str">
        <f aca="false">IF(C1256="","",IFERROR(INDEX('Cadastro Mestre'!$C$5:$C$504,MATCH(C1256,'Cadastro Mestre'!$A$5:$A$504,0)),"código não encontrado"))</f>
        <v/>
      </c>
      <c r="E1256" s="24" t="str">
        <f aca="false">IF(C1256="","",IFERROR(INDEX('Cadastro Mestre'!$Q$5:$Q$504,MATCH(C1256,'Cadastro Mestre'!$A$5:$A$504,0)),""))</f>
        <v/>
      </c>
      <c r="F1256" s="21"/>
      <c r="G1256" s="21"/>
      <c r="H1256" s="21"/>
      <c r="I1256" s="21"/>
    </row>
    <row r="1257" customFormat="false" ht="15" hidden="false" customHeight="false" outlineLevel="0" collapsed="false">
      <c r="A1257" s="25"/>
      <c r="B1257" s="21"/>
      <c r="C1257" s="21"/>
      <c r="D1257" s="26" t="str">
        <f aca="false">IF(C1257="","",IFERROR(INDEX('Cadastro Mestre'!$C$5:$C$504,MATCH(C1257,'Cadastro Mestre'!$A$5:$A$504,0)),"código não encontrado"))</f>
        <v/>
      </c>
      <c r="E1257" s="24" t="str">
        <f aca="false">IF(C1257="","",IFERROR(INDEX('Cadastro Mestre'!$Q$5:$Q$504,MATCH(C1257,'Cadastro Mestre'!$A$5:$A$504,0)),""))</f>
        <v/>
      </c>
      <c r="F1257" s="21"/>
      <c r="G1257" s="21"/>
      <c r="H1257" s="21"/>
      <c r="I1257" s="21"/>
    </row>
    <row r="1258" customFormat="false" ht="15" hidden="false" customHeight="false" outlineLevel="0" collapsed="false">
      <c r="A1258" s="25"/>
      <c r="B1258" s="21"/>
      <c r="C1258" s="21"/>
      <c r="D1258" s="26" t="str">
        <f aca="false">IF(C1258="","",IFERROR(INDEX('Cadastro Mestre'!$C$5:$C$504,MATCH(C1258,'Cadastro Mestre'!$A$5:$A$504,0)),"código não encontrado"))</f>
        <v/>
      </c>
      <c r="E1258" s="24" t="str">
        <f aca="false">IF(C1258="","",IFERROR(INDEX('Cadastro Mestre'!$Q$5:$Q$504,MATCH(C1258,'Cadastro Mestre'!$A$5:$A$504,0)),""))</f>
        <v/>
      </c>
      <c r="F1258" s="21"/>
      <c r="G1258" s="21"/>
      <c r="H1258" s="21"/>
      <c r="I1258" s="21"/>
    </row>
    <row r="1259" customFormat="false" ht="15" hidden="false" customHeight="false" outlineLevel="0" collapsed="false">
      <c r="A1259" s="25"/>
      <c r="B1259" s="21"/>
      <c r="C1259" s="21"/>
      <c r="D1259" s="26" t="str">
        <f aca="false">IF(C1259="","",IFERROR(INDEX('Cadastro Mestre'!$C$5:$C$504,MATCH(C1259,'Cadastro Mestre'!$A$5:$A$504,0)),"código não encontrado"))</f>
        <v/>
      </c>
      <c r="E1259" s="24" t="str">
        <f aca="false">IF(C1259="","",IFERROR(INDEX('Cadastro Mestre'!$Q$5:$Q$504,MATCH(C1259,'Cadastro Mestre'!$A$5:$A$504,0)),""))</f>
        <v/>
      </c>
      <c r="F1259" s="21"/>
      <c r="G1259" s="21"/>
      <c r="H1259" s="21"/>
      <c r="I1259" s="21"/>
    </row>
    <row r="1260" customFormat="false" ht="15" hidden="false" customHeight="false" outlineLevel="0" collapsed="false">
      <c r="A1260" s="25"/>
      <c r="B1260" s="21"/>
      <c r="C1260" s="21"/>
      <c r="D1260" s="26" t="str">
        <f aca="false">IF(C1260="","",IFERROR(INDEX('Cadastro Mestre'!$C$5:$C$504,MATCH(C1260,'Cadastro Mestre'!$A$5:$A$504,0)),"código não encontrado"))</f>
        <v/>
      </c>
      <c r="E1260" s="24" t="str">
        <f aca="false">IF(C1260="","",IFERROR(INDEX('Cadastro Mestre'!$Q$5:$Q$504,MATCH(C1260,'Cadastro Mestre'!$A$5:$A$504,0)),""))</f>
        <v/>
      </c>
      <c r="F1260" s="21"/>
      <c r="G1260" s="21"/>
      <c r="H1260" s="21"/>
      <c r="I1260" s="21"/>
    </row>
    <row r="1261" customFormat="false" ht="15" hidden="false" customHeight="false" outlineLevel="0" collapsed="false">
      <c r="A1261" s="25"/>
      <c r="B1261" s="21"/>
      <c r="C1261" s="21"/>
      <c r="D1261" s="26" t="str">
        <f aca="false">IF(C1261="","",IFERROR(INDEX('Cadastro Mestre'!$C$5:$C$504,MATCH(C1261,'Cadastro Mestre'!$A$5:$A$504,0)),"código não encontrado"))</f>
        <v/>
      </c>
      <c r="E1261" s="24" t="str">
        <f aca="false">IF(C1261="","",IFERROR(INDEX('Cadastro Mestre'!$Q$5:$Q$504,MATCH(C1261,'Cadastro Mestre'!$A$5:$A$504,0)),""))</f>
        <v/>
      </c>
      <c r="F1261" s="21"/>
      <c r="G1261" s="21"/>
      <c r="H1261" s="21"/>
      <c r="I1261" s="21"/>
    </row>
    <row r="1262" customFormat="false" ht="15" hidden="false" customHeight="false" outlineLevel="0" collapsed="false">
      <c r="A1262" s="25"/>
      <c r="B1262" s="21"/>
      <c r="C1262" s="21"/>
      <c r="D1262" s="26" t="str">
        <f aca="false">IF(C1262="","",IFERROR(INDEX('Cadastro Mestre'!$C$5:$C$504,MATCH(C1262,'Cadastro Mestre'!$A$5:$A$504,0)),"código não encontrado"))</f>
        <v/>
      </c>
      <c r="E1262" s="24" t="str">
        <f aca="false">IF(C1262="","",IFERROR(INDEX('Cadastro Mestre'!$Q$5:$Q$504,MATCH(C1262,'Cadastro Mestre'!$A$5:$A$504,0)),""))</f>
        <v/>
      </c>
      <c r="F1262" s="21"/>
      <c r="G1262" s="21"/>
      <c r="H1262" s="21"/>
      <c r="I1262" s="21"/>
    </row>
    <row r="1263" customFormat="false" ht="15" hidden="false" customHeight="false" outlineLevel="0" collapsed="false">
      <c r="A1263" s="25"/>
      <c r="B1263" s="21"/>
      <c r="C1263" s="21"/>
      <c r="D1263" s="26" t="str">
        <f aca="false">IF(C1263="","",IFERROR(INDEX('Cadastro Mestre'!$C$5:$C$504,MATCH(C1263,'Cadastro Mestre'!$A$5:$A$504,0)),"código não encontrado"))</f>
        <v/>
      </c>
      <c r="E1263" s="24" t="str">
        <f aca="false">IF(C1263="","",IFERROR(INDEX('Cadastro Mestre'!$Q$5:$Q$504,MATCH(C1263,'Cadastro Mestre'!$A$5:$A$504,0)),""))</f>
        <v/>
      </c>
      <c r="F1263" s="21"/>
      <c r="G1263" s="21"/>
      <c r="H1263" s="21"/>
      <c r="I1263" s="21"/>
    </row>
    <row r="1264" customFormat="false" ht="15" hidden="false" customHeight="false" outlineLevel="0" collapsed="false">
      <c r="A1264" s="25"/>
      <c r="B1264" s="21"/>
      <c r="C1264" s="21"/>
      <c r="D1264" s="26" t="str">
        <f aca="false">IF(C1264="","",IFERROR(INDEX('Cadastro Mestre'!$C$5:$C$504,MATCH(C1264,'Cadastro Mestre'!$A$5:$A$504,0)),"código não encontrado"))</f>
        <v/>
      </c>
      <c r="E1264" s="24" t="str">
        <f aca="false">IF(C1264="","",IFERROR(INDEX('Cadastro Mestre'!$Q$5:$Q$504,MATCH(C1264,'Cadastro Mestre'!$A$5:$A$504,0)),""))</f>
        <v/>
      </c>
      <c r="F1264" s="21"/>
      <c r="G1264" s="21"/>
      <c r="H1264" s="21"/>
      <c r="I1264" s="21"/>
    </row>
    <row r="1265" customFormat="false" ht="15" hidden="false" customHeight="false" outlineLevel="0" collapsed="false">
      <c r="A1265" s="25"/>
      <c r="B1265" s="21"/>
      <c r="C1265" s="21"/>
      <c r="D1265" s="26" t="str">
        <f aca="false">IF(C1265="","",IFERROR(INDEX('Cadastro Mestre'!$C$5:$C$504,MATCH(C1265,'Cadastro Mestre'!$A$5:$A$504,0)),"código não encontrado"))</f>
        <v/>
      </c>
      <c r="E1265" s="24" t="str">
        <f aca="false">IF(C1265="","",IFERROR(INDEX('Cadastro Mestre'!$Q$5:$Q$504,MATCH(C1265,'Cadastro Mestre'!$A$5:$A$504,0)),""))</f>
        <v/>
      </c>
      <c r="F1265" s="21"/>
      <c r="G1265" s="21"/>
      <c r="H1265" s="21"/>
      <c r="I1265" s="21"/>
    </row>
    <row r="1266" customFormat="false" ht="15" hidden="false" customHeight="false" outlineLevel="0" collapsed="false">
      <c r="A1266" s="25"/>
      <c r="B1266" s="21"/>
      <c r="C1266" s="21"/>
      <c r="D1266" s="26" t="str">
        <f aca="false">IF(C1266="","",IFERROR(INDEX('Cadastro Mestre'!$C$5:$C$504,MATCH(C1266,'Cadastro Mestre'!$A$5:$A$504,0)),"código não encontrado"))</f>
        <v/>
      </c>
      <c r="E1266" s="24" t="str">
        <f aca="false">IF(C1266="","",IFERROR(INDEX('Cadastro Mestre'!$Q$5:$Q$504,MATCH(C1266,'Cadastro Mestre'!$A$5:$A$504,0)),""))</f>
        <v/>
      </c>
      <c r="F1266" s="21"/>
      <c r="G1266" s="21"/>
      <c r="H1266" s="21"/>
      <c r="I1266" s="21"/>
    </row>
    <row r="1267" customFormat="false" ht="15" hidden="false" customHeight="false" outlineLevel="0" collapsed="false">
      <c r="A1267" s="25"/>
      <c r="B1267" s="21"/>
      <c r="C1267" s="21"/>
      <c r="D1267" s="26" t="str">
        <f aca="false">IF(C1267="","",IFERROR(INDEX('Cadastro Mestre'!$C$5:$C$504,MATCH(C1267,'Cadastro Mestre'!$A$5:$A$504,0)),"código não encontrado"))</f>
        <v/>
      </c>
      <c r="E1267" s="24" t="str">
        <f aca="false">IF(C1267="","",IFERROR(INDEX('Cadastro Mestre'!$Q$5:$Q$504,MATCH(C1267,'Cadastro Mestre'!$A$5:$A$504,0)),""))</f>
        <v/>
      </c>
      <c r="F1267" s="21"/>
      <c r="G1267" s="21"/>
      <c r="H1267" s="21"/>
      <c r="I1267" s="21"/>
    </row>
    <row r="1268" customFormat="false" ht="15" hidden="false" customHeight="false" outlineLevel="0" collapsed="false">
      <c r="A1268" s="25"/>
      <c r="B1268" s="21"/>
      <c r="C1268" s="21"/>
      <c r="D1268" s="26" t="str">
        <f aca="false">IF(C1268="","",IFERROR(INDEX('Cadastro Mestre'!$C$5:$C$504,MATCH(C1268,'Cadastro Mestre'!$A$5:$A$504,0)),"código não encontrado"))</f>
        <v/>
      </c>
      <c r="E1268" s="24" t="str">
        <f aca="false">IF(C1268="","",IFERROR(INDEX('Cadastro Mestre'!$Q$5:$Q$504,MATCH(C1268,'Cadastro Mestre'!$A$5:$A$504,0)),""))</f>
        <v/>
      </c>
      <c r="F1268" s="21"/>
      <c r="G1268" s="21"/>
      <c r="H1268" s="21"/>
      <c r="I1268" s="21"/>
    </row>
    <row r="1269" customFormat="false" ht="15" hidden="false" customHeight="false" outlineLevel="0" collapsed="false">
      <c r="A1269" s="25"/>
      <c r="B1269" s="21"/>
      <c r="C1269" s="21"/>
      <c r="D1269" s="26" t="str">
        <f aca="false">IF(C1269="","",IFERROR(INDEX('Cadastro Mestre'!$C$5:$C$504,MATCH(C1269,'Cadastro Mestre'!$A$5:$A$504,0)),"código não encontrado"))</f>
        <v/>
      </c>
      <c r="E1269" s="24" t="str">
        <f aca="false">IF(C1269="","",IFERROR(INDEX('Cadastro Mestre'!$Q$5:$Q$504,MATCH(C1269,'Cadastro Mestre'!$A$5:$A$504,0)),""))</f>
        <v/>
      </c>
      <c r="F1269" s="21"/>
      <c r="G1269" s="21"/>
      <c r="H1269" s="21"/>
      <c r="I1269" s="21"/>
    </row>
    <row r="1270" customFormat="false" ht="15" hidden="false" customHeight="false" outlineLevel="0" collapsed="false">
      <c r="A1270" s="25"/>
      <c r="B1270" s="21"/>
      <c r="C1270" s="21"/>
      <c r="D1270" s="26" t="str">
        <f aca="false">IF(C1270="","",IFERROR(INDEX('Cadastro Mestre'!$C$5:$C$504,MATCH(C1270,'Cadastro Mestre'!$A$5:$A$504,0)),"código não encontrado"))</f>
        <v/>
      </c>
      <c r="E1270" s="24" t="str">
        <f aca="false">IF(C1270="","",IFERROR(INDEX('Cadastro Mestre'!$Q$5:$Q$504,MATCH(C1270,'Cadastro Mestre'!$A$5:$A$504,0)),""))</f>
        <v/>
      </c>
      <c r="F1270" s="21"/>
      <c r="G1270" s="21"/>
      <c r="H1270" s="21"/>
      <c r="I1270" s="21"/>
    </row>
    <row r="1271" customFormat="false" ht="15" hidden="false" customHeight="false" outlineLevel="0" collapsed="false">
      <c r="A1271" s="25"/>
      <c r="B1271" s="21"/>
      <c r="C1271" s="21"/>
      <c r="D1271" s="26" t="str">
        <f aca="false">IF(C1271="","",IFERROR(INDEX('Cadastro Mestre'!$C$5:$C$504,MATCH(C1271,'Cadastro Mestre'!$A$5:$A$504,0)),"código não encontrado"))</f>
        <v/>
      </c>
      <c r="E1271" s="24" t="str">
        <f aca="false">IF(C1271="","",IFERROR(INDEX('Cadastro Mestre'!$Q$5:$Q$504,MATCH(C1271,'Cadastro Mestre'!$A$5:$A$504,0)),""))</f>
        <v/>
      </c>
      <c r="F1271" s="21"/>
      <c r="G1271" s="21"/>
      <c r="H1271" s="21"/>
      <c r="I1271" s="21"/>
    </row>
    <row r="1272" customFormat="false" ht="15" hidden="false" customHeight="false" outlineLevel="0" collapsed="false">
      <c r="A1272" s="25"/>
      <c r="B1272" s="21"/>
      <c r="C1272" s="21"/>
      <c r="D1272" s="26" t="str">
        <f aca="false">IF(C1272="","",IFERROR(INDEX('Cadastro Mestre'!$C$5:$C$504,MATCH(C1272,'Cadastro Mestre'!$A$5:$A$504,0)),"código não encontrado"))</f>
        <v/>
      </c>
      <c r="E1272" s="24" t="str">
        <f aca="false">IF(C1272="","",IFERROR(INDEX('Cadastro Mestre'!$Q$5:$Q$504,MATCH(C1272,'Cadastro Mestre'!$A$5:$A$504,0)),""))</f>
        <v/>
      </c>
      <c r="F1272" s="21"/>
      <c r="G1272" s="21"/>
      <c r="H1272" s="21"/>
      <c r="I1272" s="21"/>
    </row>
    <row r="1273" customFormat="false" ht="15" hidden="false" customHeight="false" outlineLevel="0" collapsed="false">
      <c r="A1273" s="25"/>
      <c r="B1273" s="21"/>
      <c r="C1273" s="21"/>
      <c r="D1273" s="26" t="str">
        <f aca="false">IF(C1273="","",IFERROR(INDEX('Cadastro Mestre'!$C$5:$C$504,MATCH(C1273,'Cadastro Mestre'!$A$5:$A$504,0)),"código não encontrado"))</f>
        <v/>
      </c>
      <c r="E1273" s="24" t="str">
        <f aca="false">IF(C1273="","",IFERROR(INDEX('Cadastro Mestre'!$Q$5:$Q$504,MATCH(C1273,'Cadastro Mestre'!$A$5:$A$504,0)),""))</f>
        <v/>
      </c>
      <c r="F1273" s="21"/>
      <c r="G1273" s="21"/>
      <c r="H1273" s="21"/>
      <c r="I1273" s="21"/>
    </row>
    <row r="1274" customFormat="false" ht="15" hidden="false" customHeight="false" outlineLevel="0" collapsed="false">
      <c r="A1274" s="25"/>
      <c r="B1274" s="21"/>
      <c r="C1274" s="21"/>
      <c r="D1274" s="26" t="str">
        <f aca="false">IF(C1274="","",IFERROR(INDEX('Cadastro Mestre'!$C$5:$C$504,MATCH(C1274,'Cadastro Mestre'!$A$5:$A$504,0)),"código não encontrado"))</f>
        <v/>
      </c>
      <c r="E1274" s="24" t="str">
        <f aca="false">IF(C1274="","",IFERROR(INDEX('Cadastro Mestre'!$Q$5:$Q$504,MATCH(C1274,'Cadastro Mestre'!$A$5:$A$504,0)),""))</f>
        <v/>
      </c>
      <c r="F1274" s="21"/>
      <c r="G1274" s="21"/>
      <c r="H1274" s="21"/>
      <c r="I1274" s="21"/>
    </row>
    <row r="1275" customFormat="false" ht="15" hidden="false" customHeight="false" outlineLevel="0" collapsed="false">
      <c r="A1275" s="25"/>
      <c r="B1275" s="21"/>
      <c r="C1275" s="21"/>
      <c r="D1275" s="26" t="str">
        <f aca="false">IF(C1275="","",IFERROR(INDEX('Cadastro Mestre'!$C$5:$C$504,MATCH(C1275,'Cadastro Mestre'!$A$5:$A$504,0)),"código não encontrado"))</f>
        <v/>
      </c>
      <c r="E1275" s="24" t="str">
        <f aca="false">IF(C1275="","",IFERROR(INDEX('Cadastro Mestre'!$Q$5:$Q$504,MATCH(C1275,'Cadastro Mestre'!$A$5:$A$504,0)),""))</f>
        <v/>
      </c>
      <c r="F1275" s="21"/>
      <c r="G1275" s="21"/>
      <c r="H1275" s="21"/>
      <c r="I1275" s="21"/>
    </row>
    <row r="1276" customFormat="false" ht="15" hidden="false" customHeight="false" outlineLevel="0" collapsed="false">
      <c r="A1276" s="25"/>
      <c r="B1276" s="21"/>
      <c r="C1276" s="21"/>
      <c r="D1276" s="26" t="str">
        <f aca="false">IF(C1276="","",IFERROR(INDEX('Cadastro Mestre'!$C$5:$C$504,MATCH(C1276,'Cadastro Mestre'!$A$5:$A$504,0)),"código não encontrado"))</f>
        <v/>
      </c>
      <c r="E1276" s="24" t="str">
        <f aca="false">IF(C1276="","",IFERROR(INDEX('Cadastro Mestre'!$Q$5:$Q$504,MATCH(C1276,'Cadastro Mestre'!$A$5:$A$504,0)),""))</f>
        <v/>
      </c>
      <c r="F1276" s="21"/>
      <c r="G1276" s="21"/>
      <c r="H1276" s="21"/>
      <c r="I1276" s="21"/>
    </row>
    <row r="1277" customFormat="false" ht="15" hidden="false" customHeight="false" outlineLevel="0" collapsed="false">
      <c r="A1277" s="25"/>
      <c r="B1277" s="21"/>
      <c r="C1277" s="21"/>
      <c r="D1277" s="26" t="str">
        <f aca="false">IF(C1277="","",IFERROR(INDEX('Cadastro Mestre'!$C$5:$C$504,MATCH(C1277,'Cadastro Mestre'!$A$5:$A$504,0)),"código não encontrado"))</f>
        <v/>
      </c>
      <c r="E1277" s="24" t="str">
        <f aca="false">IF(C1277="","",IFERROR(INDEX('Cadastro Mestre'!$Q$5:$Q$504,MATCH(C1277,'Cadastro Mestre'!$A$5:$A$504,0)),""))</f>
        <v/>
      </c>
      <c r="F1277" s="21"/>
      <c r="G1277" s="21"/>
      <c r="H1277" s="21"/>
      <c r="I1277" s="21"/>
    </row>
    <row r="1278" customFormat="false" ht="15" hidden="false" customHeight="false" outlineLevel="0" collapsed="false">
      <c r="A1278" s="25"/>
      <c r="B1278" s="21"/>
      <c r="C1278" s="21"/>
      <c r="D1278" s="26" t="str">
        <f aca="false">IF(C1278="","",IFERROR(INDEX('Cadastro Mestre'!$C$5:$C$504,MATCH(C1278,'Cadastro Mestre'!$A$5:$A$504,0)),"código não encontrado"))</f>
        <v/>
      </c>
      <c r="E1278" s="24" t="str">
        <f aca="false">IF(C1278="","",IFERROR(INDEX('Cadastro Mestre'!$Q$5:$Q$504,MATCH(C1278,'Cadastro Mestre'!$A$5:$A$504,0)),""))</f>
        <v/>
      </c>
      <c r="F1278" s="21"/>
      <c r="G1278" s="21"/>
      <c r="H1278" s="21"/>
      <c r="I1278" s="21"/>
    </row>
    <row r="1279" customFormat="false" ht="15" hidden="false" customHeight="false" outlineLevel="0" collapsed="false">
      <c r="A1279" s="25"/>
      <c r="B1279" s="21"/>
      <c r="C1279" s="21"/>
      <c r="D1279" s="26" t="str">
        <f aca="false">IF(C1279="","",IFERROR(INDEX('Cadastro Mestre'!$C$5:$C$504,MATCH(C1279,'Cadastro Mestre'!$A$5:$A$504,0)),"código não encontrado"))</f>
        <v/>
      </c>
      <c r="E1279" s="24" t="str">
        <f aca="false">IF(C1279="","",IFERROR(INDEX('Cadastro Mestre'!$Q$5:$Q$504,MATCH(C1279,'Cadastro Mestre'!$A$5:$A$504,0)),""))</f>
        <v/>
      </c>
      <c r="F1279" s="21"/>
      <c r="G1279" s="21"/>
      <c r="H1279" s="21"/>
      <c r="I1279" s="21"/>
    </row>
    <row r="1280" customFormat="false" ht="15" hidden="false" customHeight="false" outlineLevel="0" collapsed="false">
      <c r="A1280" s="25"/>
      <c r="B1280" s="21"/>
      <c r="C1280" s="21"/>
      <c r="D1280" s="26" t="str">
        <f aca="false">IF(C1280="","",IFERROR(INDEX('Cadastro Mestre'!$C$5:$C$504,MATCH(C1280,'Cadastro Mestre'!$A$5:$A$504,0)),"código não encontrado"))</f>
        <v/>
      </c>
      <c r="E1280" s="24" t="str">
        <f aca="false">IF(C1280="","",IFERROR(INDEX('Cadastro Mestre'!$Q$5:$Q$504,MATCH(C1280,'Cadastro Mestre'!$A$5:$A$504,0)),""))</f>
        <v/>
      </c>
      <c r="F1280" s="21"/>
      <c r="G1280" s="21"/>
      <c r="H1280" s="21"/>
      <c r="I1280" s="21"/>
    </row>
    <row r="1281" customFormat="false" ht="15" hidden="false" customHeight="false" outlineLevel="0" collapsed="false">
      <c r="A1281" s="25"/>
      <c r="B1281" s="21"/>
      <c r="C1281" s="21"/>
      <c r="D1281" s="26" t="str">
        <f aca="false">IF(C1281="","",IFERROR(INDEX('Cadastro Mestre'!$C$5:$C$504,MATCH(C1281,'Cadastro Mestre'!$A$5:$A$504,0)),"código não encontrado"))</f>
        <v/>
      </c>
      <c r="E1281" s="24" t="str">
        <f aca="false">IF(C1281="","",IFERROR(INDEX('Cadastro Mestre'!$Q$5:$Q$504,MATCH(C1281,'Cadastro Mestre'!$A$5:$A$504,0)),""))</f>
        <v/>
      </c>
      <c r="F1281" s="21"/>
      <c r="G1281" s="21"/>
      <c r="H1281" s="21"/>
      <c r="I1281" s="21"/>
    </row>
    <row r="1282" customFormat="false" ht="15" hidden="false" customHeight="false" outlineLevel="0" collapsed="false">
      <c r="A1282" s="25"/>
      <c r="B1282" s="21"/>
      <c r="C1282" s="21"/>
      <c r="D1282" s="26" t="str">
        <f aca="false">IF(C1282="","",IFERROR(INDEX('Cadastro Mestre'!$C$5:$C$504,MATCH(C1282,'Cadastro Mestre'!$A$5:$A$504,0)),"código não encontrado"))</f>
        <v/>
      </c>
      <c r="E1282" s="24" t="str">
        <f aca="false">IF(C1282="","",IFERROR(INDEX('Cadastro Mestre'!$Q$5:$Q$504,MATCH(C1282,'Cadastro Mestre'!$A$5:$A$504,0)),""))</f>
        <v/>
      </c>
      <c r="F1282" s="21"/>
      <c r="G1282" s="21"/>
      <c r="H1282" s="21"/>
      <c r="I1282" s="21"/>
    </row>
    <row r="1283" customFormat="false" ht="15" hidden="false" customHeight="false" outlineLevel="0" collapsed="false">
      <c r="A1283" s="25"/>
      <c r="B1283" s="21"/>
      <c r="C1283" s="21"/>
      <c r="D1283" s="26" t="str">
        <f aca="false">IF(C1283="","",IFERROR(INDEX('Cadastro Mestre'!$C$5:$C$504,MATCH(C1283,'Cadastro Mestre'!$A$5:$A$504,0)),"código não encontrado"))</f>
        <v/>
      </c>
      <c r="E1283" s="24" t="str">
        <f aca="false">IF(C1283="","",IFERROR(INDEX('Cadastro Mestre'!$Q$5:$Q$504,MATCH(C1283,'Cadastro Mestre'!$A$5:$A$504,0)),""))</f>
        <v/>
      </c>
      <c r="F1283" s="21"/>
      <c r="G1283" s="21"/>
      <c r="H1283" s="21"/>
      <c r="I1283" s="21"/>
    </row>
    <row r="1284" customFormat="false" ht="15" hidden="false" customHeight="false" outlineLevel="0" collapsed="false">
      <c r="A1284" s="25"/>
      <c r="B1284" s="21"/>
      <c r="C1284" s="21"/>
      <c r="D1284" s="26" t="str">
        <f aca="false">IF(C1284="","",IFERROR(INDEX('Cadastro Mestre'!$C$5:$C$504,MATCH(C1284,'Cadastro Mestre'!$A$5:$A$504,0)),"código não encontrado"))</f>
        <v/>
      </c>
      <c r="E1284" s="24" t="str">
        <f aca="false">IF(C1284="","",IFERROR(INDEX('Cadastro Mestre'!$Q$5:$Q$504,MATCH(C1284,'Cadastro Mestre'!$A$5:$A$504,0)),""))</f>
        <v/>
      </c>
      <c r="F1284" s="21"/>
      <c r="G1284" s="21"/>
      <c r="H1284" s="21"/>
      <c r="I1284" s="21"/>
    </row>
    <row r="1285" customFormat="false" ht="15" hidden="false" customHeight="false" outlineLevel="0" collapsed="false">
      <c r="A1285" s="25"/>
      <c r="B1285" s="21"/>
      <c r="C1285" s="21"/>
      <c r="D1285" s="26" t="str">
        <f aca="false">IF(C1285="","",IFERROR(INDEX('Cadastro Mestre'!$C$5:$C$504,MATCH(C1285,'Cadastro Mestre'!$A$5:$A$504,0)),"código não encontrado"))</f>
        <v/>
      </c>
      <c r="E1285" s="24" t="str">
        <f aca="false">IF(C1285="","",IFERROR(INDEX('Cadastro Mestre'!$Q$5:$Q$504,MATCH(C1285,'Cadastro Mestre'!$A$5:$A$504,0)),""))</f>
        <v/>
      </c>
      <c r="F1285" s="21"/>
      <c r="G1285" s="21"/>
      <c r="H1285" s="21"/>
      <c r="I1285" s="21"/>
    </row>
    <row r="1286" customFormat="false" ht="15" hidden="false" customHeight="false" outlineLevel="0" collapsed="false">
      <c r="A1286" s="25"/>
      <c r="B1286" s="21"/>
      <c r="C1286" s="21"/>
      <c r="D1286" s="26" t="str">
        <f aca="false">IF(C1286="","",IFERROR(INDEX('Cadastro Mestre'!$C$5:$C$504,MATCH(C1286,'Cadastro Mestre'!$A$5:$A$504,0)),"código não encontrado"))</f>
        <v/>
      </c>
      <c r="E1286" s="24" t="str">
        <f aca="false">IF(C1286="","",IFERROR(INDEX('Cadastro Mestre'!$Q$5:$Q$504,MATCH(C1286,'Cadastro Mestre'!$A$5:$A$504,0)),""))</f>
        <v/>
      </c>
      <c r="F1286" s="21"/>
      <c r="G1286" s="21"/>
      <c r="H1286" s="21"/>
      <c r="I1286" s="21"/>
    </row>
    <row r="1287" customFormat="false" ht="15" hidden="false" customHeight="false" outlineLevel="0" collapsed="false">
      <c r="A1287" s="25"/>
      <c r="B1287" s="21"/>
      <c r="C1287" s="21"/>
      <c r="D1287" s="26" t="str">
        <f aca="false">IF(C1287="","",IFERROR(INDEX('Cadastro Mestre'!$C$5:$C$504,MATCH(C1287,'Cadastro Mestre'!$A$5:$A$504,0)),"código não encontrado"))</f>
        <v/>
      </c>
      <c r="E1287" s="24" t="str">
        <f aca="false">IF(C1287="","",IFERROR(INDEX('Cadastro Mestre'!$Q$5:$Q$504,MATCH(C1287,'Cadastro Mestre'!$A$5:$A$504,0)),""))</f>
        <v/>
      </c>
      <c r="F1287" s="21"/>
      <c r="G1287" s="21"/>
      <c r="H1287" s="21"/>
      <c r="I1287" s="21"/>
    </row>
    <row r="1288" customFormat="false" ht="15" hidden="false" customHeight="false" outlineLevel="0" collapsed="false">
      <c r="A1288" s="25"/>
      <c r="B1288" s="21"/>
      <c r="C1288" s="21"/>
      <c r="D1288" s="26" t="str">
        <f aca="false">IF(C1288="","",IFERROR(INDEX('Cadastro Mestre'!$C$5:$C$504,MATCH(C1288,'Cadastro Mestre'!$A$5:$A$504,0)),"código não encontrado"))</f>
        <v/>
      </c>
      <c r="E1288" s="24" t="str">
        <f aca="false">IF(C1288="","",IFERROR(INDEX('Cadastro Mestre'!$Q$5:$Q$504,MATCH(C1288,'Cadastro Mestre'!$A$5:$A$504,0)),""))</f>
        <v/>
      </c>
      <c r="F1288" s="21"/>
      <c r="G1288" s="21"/>
      <c r="H1288" s="21"/>
      <c r="I1288" s="21"/>
    </row>
    <row r="1289" customFormat="false" ht="15" hidden="false" customHeight="false" outlineLevel="0" collapsed="false">
      <c r="A1289" s="25"/>
      <c r="B1289" s="21"/>
      <c r="C1289" s="21"/>
      <c r="D1289" s="26" t="str">
        <f aca="false">IF(C1289="","",IFERROR(INDEX('Cadastro Mestre'!$C$5:$C$504,MATCH(C1289,'Cadastro Mestre'!$A$5:$A$504,0)),"código não encontrado"))</f>
        <v/>
      </c>
      <c r="E1289" s="24" t="str">
        <f aca="false">IF(C1289="","",IFERROR(INDEX('Cadastro Mestre'!$Q$5:$Q$504,MATCH(C1289,'Cadastro Mestre'!$A$5:$A$504,0)),""))</f>
        <v/>
      </c>
      <c r="F1289" s="21"/>
      <c r="G1289" s="21"/>
      <c r="H1289" s="21"/>
      <c r="I1289" s="21"/>
    </row>
    <row r="1290" customFormat="false" ht="15" hidden="false" customHeight="false" outlineLevel="0" collapsed="false">
      <c r="A1290" s="25"/>
      <c r="B1290" s="21"/>
      <c r="C1290" s="21"/>
      <c r="D1290" s="26" t="str">
        <f aca="false">IF(C1290="","",IFERROR(INDEX('Cadastro Mestre'!$C$5:$C$504,MATCH(C1290,'Cadastro Mestre'!$A$5:$A$504,0)),"código não encontrado"))</f>
        <v/>
      </c>
      <c r="E1290" s="24" t="str">
        <f aca="false">IF(C1290="","",IFERROR(INDEX('Cadastro Mestre'!$Q$5:$Q$504,MATCH(C1290,'Cadastro Mestre'!$A$5:$A$504,0)),""))</f>
        <v/>
      </c>
      <c r="F1290" s="21"/>
      <c r="G1290" s="21"/>
      <c r="H1290" s="21"/>
      <c r="I1290" s="21"/>
    </row>
    <row r="1291" customFormat="false" ht="15" hidden="false" customHeight="false" outlineLevel="0" collapsed="false">
      <c r="A1291" s="25"/>
      <c r="B1291" s="21"/>
      <c r="C1291" s="21"/>
      <c r="D1291" s="26" t="str">
        <f aca="false">IF(C1291="","",IFERROR(INDEX('Cadastro Mestre'!$C$5:$C$504,MATCH(C1291,'Cadastro Mestre'!$A$5:$A$504,0)),"código não encontrado"))</f>
        <v/>
      </c>
      <c r="E1291" s="24" t="str">
        <f aca="false">IF(C1291="","",IFERROR(INDEX('Cadastro Mestre'!$Q$5:$Q$504,MATCH(C1291,'Cadastro Mestre'!$A$5:$A$504,0)),""))</f>
        <v/>
      </c>
      <c r="F1291" s="21"/>
      <c r="G1291" s="21"/>
      <c r="H1291" s="21"/>
      <c r="I1291" s="21"/>
    </row>
    <row r="1292" customFormat="false" ht="15" hidden="false" customHeight="false" outlineLevel="0" collapsed="false">
      <c r="A1292" s="25"/>
      <c r="B1292" s="21"/>
      <c r="C1292" s="21"/>
      <c r="D1292" s="26" t="str">
        <f aca="false">IF(C1292="","",IFERROR(INDEX('Cadastro Mestre'!$C$5:$C$504,MATCH(C1292,'Cadastro Mestre'!$A$5:$A$504,0)),"código não encontrado"))</f>
        <v/>
      </c>
      <c r="E1292" s="24" t="str">
        <f aca="false">IF(C1292="","",IFERROR(INDEX('Cadastro Mestre'!$Q$5:$Q$504,MATCH(C1292,'Cadastro Mestre'!$A$5:$A$504,0)),""))</f>
        <v/>
      </c>
      <c r="F1292" s="21"/>
      <c r="G1292" s="21"/>
      <c r="H1292" s="21"/>
      <c r="I1292" s="21"/>
    </row>
    <row r="1293" customFormat="false" ht="15" hidden="false" customHeight="false" outlineLevel="0" collapsed="false">
      <c r="A1293" s="25"/>
      <c r="B1293" s="21"/>
      <c r="C1293" s="21"/>
      <c r="D1293" s="26" t="str">
        <f aca="false">IF(C1293="","",IFERROR(INDEX('Cadastro Mestre'!$C$5:$C$504,MATCH(C1293,'Cadastro Mestre'!$A$5:$A$504,0)),"código não encontrado"))</f>
        <v/>
      </c>
      <c r="E1293" s="24" t="str">
        <f aca="false">IF(C1293="","",IFERROR(INDEX('Cadastro Mestre'!$Q$5:$Q$504,MATCH(C1293,'Cadastro Mestre'!$A$5:$A$504,0)),""))</f>
        <v/>
      </c>
      <c r="F1293" s="21"/>
      <c r="G1293" s="21"/>
      <c r="H1293" s="21"/>
      <c r="I1293" s="21"/>
    </row>
    <row r="1294" customFormat="false" ht="15" hidden="false" customHeight="false" outlineLevel="0" collapsed="false">
      <c r="A1294" s="25"/>
      <c r="B1294" s="21"/>
      <c r="C1294" s="21"/>
      <c r="D1294" s="26" t="str">
        <f aca="false">IF(C1294="","",IFERROR(INDEX('Cadastro Mestre'!$C$5:$C$504,MATCH(C1294,'Cadastro Mestre'!$A$5:$A$504,0)),"código não encontrado"))</f>
        <v/>
      </c>
      <c r="E1294" s="24" t="str">
        <f aca="false">IF(C1294="","",IFERROR(INDEX('Cadastro Mestre'!$Q$5:$Q$504,MATCH(C1294,'Cadastro Mestre'!$A$5:$A$504,0)),""))</f>
        <v/>
      </c>
      <c r="F1294" s="21"/>
      <c r="G1294" s="21"/>
      <c r="H1294" s="21"/>
      <c r="I1294" s="21"/>
    </row>
    <row r="1295" customFormat="false" ht="15" hidden="false" customHeight="false" outlineLevel="0" collapsed="false">
      <c r="A1295" s="25"/>
      <c r="B1295" s="21"/>
      <c r="C1295" s="21"/>
      <c r="D1295" s="26" t="str">
        <f aca="false">IF(C1295="","",IFERROR(INDEX('Cadastro Mestre'!$C$5:$C$504,MATCH(C1295,'Cadastro Mestre'!$A$5:$A$504,0)),"código não encontrado"))</f>
        <v/>
      </c>
      <c r="E1295" s="24" t="str">
        <f aca="false">IF(C1295="","",IFERROR(INDEX('Cadastro Mestre'!$Q$5:$Q$504,MATCH(C1295,'Cadastro Mestre'!$A$5:$A$504,0)),""))</f>
        <v/>
      </c>
      <c r="F1295" s="21"/>
      <c r="G1295" s="21"/>
      <c r="H1295" s="21"/>
      <c r="I1295" s="21"/>
    </row>
    <row r="1296" customFormat="false" ht="15" hidden="false" customHeight="false" outlineLevel="0" collapsed="false">
      <c r="A1296" s="25"/>
      <c r="B1296" s="21"/>
      <c r="C1296" s="21"/>
      <c r="D1296" s="26" t="str">
        <f aca="false">IF(C1296="","",IFERROR(INDEX('Cadastro Mestre'!$C$5:$C$504,MATCH(C1296,'Cadastro Mestre'!$A$5:$A$504,0)),"código não encontrado"))</f>
        <v/>
      </c>
      <c r="E1296" s="24" t="str">
        <f aca="false">IF(C1296="","",IFERROR(INDEX('Cadastro Mestre'!$Q$5:$Q$504,MATCH(C1296,'Cadastro Mestre'!$A$5:$A$504,0)),""))</f>
        <v/>
      </c>
      <c r="F1296" s="21"/>
      <c r="G1296" s="21"/>
      <c r="H1296" s="21"/>
      <c r="I1296" s="21"/>
    </row>
    <row r="1297" customFormat="false" ht="15" hidden="false" customHeight="false" outlineLevel="0" collapsed="false">
      <c r="A1297" s="25"/>
      <c r="B1297" s="21"/>
      <c r="C1297" s="21"/>
      <c r="D1297" s="26" t="str">
        <f aca="false">IF(C1297="","",IFERROR(INDEX('Cadastro Mestre'!$C$5:$C$504,MATCH(C1297,'Cadastro Mestre'!$A$5:$A$504,0)),"código não encontrado"))</f>
        <v/>
      </c>
      <c r="E1297" s="24" t="str">
        <f aca="false">IF(C1297="","",IFERROR(INDEX('Cadastro Mestre'!$Q$5:$Q$504,MATCH(C1297,'Cadastro Mestre'!$A$5:$A$504,0)),""))</f>
        <v/>
      </c>
      <c r="F1297" s="21"/>
      <c r="G1297" s="21"/>
      <c r="H1297" s="21"/>
      <c r="I1297" s="21"/>
    </row>
    <row r="1298" customFormat="false" ht="15" hidden="false" customHeight="false" outlineLevel="0" collapsed="false">
      <c r="A1298" s="25"/>
      <c r="B1298" s="21"/>
      <c r="C1298" s="21"/>
      <c r="D1298" s="26" t="str">
        <f aca="false">IF(C1298="","",IFERROR(INDEX('Cadastro Mestre'!$C$5:$C$504,MATCH(C1298,'Cadastro Mestre'!$A$5:$A$504,0)),"código não encontrado"))</f>
        <v/>
      </c>
      <c r="E1298" s="24" t="str">
        <f aca="false">IF(C1298="","",IFERROR(INDEX('Cadastro Mestre'!$Q$5:$Q$504,MATCH(C1298,'Cadastro Mestre'!$A$5:$A$504,0)),""))</f>
        <v/>
      </c>
      <c r="F1298" s="21"/>
      <c r="G1298" s="21"/>
      <c r="H1298" s="21"/>
      <c r="I1298" s="21"/>
    </row>
    <row r="1299" customFormat="false" ht="15" hidden="false" customHeight="false" outlineLevel="0" collapsed="false">
      <c r="A1299" s="25"/>
      <c r="B1299" s="21"/>
      <c r="C1299" s="21"/>
      <c r="D1299" s="26" t="str">
        <f aca="false">IF(C1299="","",IFERROR(INDEX('Cadastro Mestre'!$C$5:$C$504,MATCH(C1299,'Cadastro Mestre'!$A$5:$A$504,0)),"código não encontrado"))</f>
        <v/>
      </c>
      <c r="E1299" s="24" t="str">
        <f aca="false">IF(C1299="","",IFERROR(INDEX('Cadastro Mestre'!$Q$5:$Q$504,MATCH(C1299,'Cadastro Mestre'!$A$5:$A$504,0)),""))</f>
        <v/>
      </c>
      <c r="F1299" s="21"/>
      <c r="G1299" s="21"/>
      <c r="H1299" s="21"/>
      <c r="I1299" s="21"/>
    </row>
    <row r="1300" customFormat="false" ht="15" hidden="false" customHeight="false" outlineLevel="0" collapsed="false">
      <c r="A1300" s="25"/>
      <c r="B1300" s="21"/>
      <c r="C1300" s="21"/>
      <c r="D1300" s="26" t="str">
        <f aca="false">IF(C1300="","",IFERROR(INDEX('Cadastro Mestre'!$C$5:$C$504,MATCH(C1300,'Cadastro Mestre'!$A$5:$A$504,0)),"código não encontrado"))</f>
        <v/>
      </c>
      <c r="E1300" s="24" t="str">
        <f aca="false">IF(C1300="","",IFERROR(INDEX('Cadastro Mestre'!$Q$5:$Q$504,MATCH(C1300,'Cadastro Mestre'!$A$5:$A$504,0)),""))</f>
        <v/>
      </c>
      <c r="F1300" s="21"/>
      <c r="G1300" s="21"/>
      <c r="H1300" s="21"/>
      <c r="I1300" s="21"/>
    </row>
    <row r="1301" customFormat="false" ht="15" hidden="false" customHeight="false" outlineLevel="0" collapsed="false">
      <c r="A1301" s="25"/>
      <c r="B1301" s="21"/>
      <c r="C1301" s="21"/>
      <c r="D1301" s="26" t="str">
        <f aca="false">IF(C1301="","",IFERROR(INDEX('Cadastro Mestre'!$C$5:$C$504,MATCH(C1301,'Cadastro Mestre'!$A$5:$A$504,0)),"código não encontrado"))</f>
        <v/>
      </c>
      <c r="E1301" s="24" t="str">
        <f aca="false">IF(C1301="","",IFERROR(INDEX('Cadastro Mestre'!$Q$5:$Q$504,MATCH(C1301,'Cadastro Mestre'!$A$5:$A$504,0)),""))</f>
        <v/>
      </c>
      <c r="F1301" s="21"/>
      <c r="G1301" s="21"/>
      <c r="H1301" s="21"/>
      <c r="I1301" s="21"/>
    </row>
    <row r="1302" customFormat="false" ht="15" hidden="false" customHeight="false" outlineLevel="0" collapsed="false">
      <c r="A1302" s="25"/>
      <c r="B1302" s="21"/>
      <c r="C1302" s="21"/>
      <c r="D1302" s="26" t="str">
        <f aca="false">IF(C1302="","",IFERROR(INDEX('Cadastro Mestre'!$C$5:$C$504,MATCH(C1302,'Cadastro Mestre'!$A$5:$A$504,0)),"código não encontrado"))</f>
        <v/>
      </c>
      <c r="E1302" s="24" t="str">
        <f aca="false">IF(C1302="","",IFERROR(INDEX('Cadastro Mestre'!$Q$5:$Q$504,MATCH(C1302,'Cadastro Mestre'!$A$5:$A$504,0)),""))</f>
        <v/>
      </c>
      <c r="F1302" s="21"/>
      <c r="G1302" s="21"/>
      <c r="H1302" s="21"/>
      <c r="I1302" s="21"/>
    </row>
    <row r="1303" customFormat="false" ht="15" hidden="false" customHeight="false" outlineLevel="0" collapsed="false">
      <c r="A1303" s="25"/>
      <c r="B1303" s="21"/>
      <c r="C1303" s="21"/>
      <c r="D1303" s="26" t="str">
        <f aca="false">IF(C1303="","",IFERROR(INDEX('Cadastro Mestre'!$C$5:$C$504,MATCH(C1303,'Cadastro Mestre'!$A$5:$A$504,0)),"código não encontrado"))</f>
        <v/>
      </c>
      <c r="E1303" s="24" t="str">
        <f aca="false">IF(C1303="","",IFERROR(INDEX('Cadastro Mestre'!$Q$5:$Q$504,MATCH(C1303,'Cadastro Mestre'!$A$5:$A$504,0)),""))</f>
        <v/>
      </c>
      <c r="F1303" s="21"/>
      <c r="G1303" s="21"/>
      <c r="H1303" s="21"/>
      <c r="I1303" s="21"/>
    </row>
    <row r="1304" customFormat="false" ht="15" hidden="false" customHeight="false" outlineLevel="0" collapsed="false">
      <c r="A1304" s="25"/>
      <c r="B1304" s="21"/>
      <c r="C1304" s="21"/>
      <c r="D1304" s="26" t="str">
        <f aca="false">IF(C1304="","",IFERROR(INDEX('Cadastro Mestre'!$C$5:$C$504,MATCH(C1304,'Cadastro Mestre'!$A$5:$A$504,0)),"código não encontrado"))</f>
        <v/>
      </c>
      <c r="E1304" s="24" t="str">
        <f aca="false">IF(C1304="","",IFERROR(INDEX('Cadastro Mestre'!$Q$5:$Q$504,MATCH(C1304,'Cadastro Mestre'!$A$5:$A$504,0)),""))</f>
        <v/>
      </c>
      <c r="F1304" s="21"/>
      <c r="G1304" s="21"/>
      <c r="H1304" s="21"/>
      <c r="I1304" s="21"/>
    </row>
    <row r="1305" customFormat="false" ht="15" hidden="false" customHeight="false" outlineLevel="0" collapsed="false">
      <c r="A1305" s="25"/>
      <c r="B1305" s="21"/>
      <c r="C1305" s="21"/>
      <c r="D1305" s="26" t="str">
        <f aca="false">IF(C1305="","",IFERROR(INDEX('Cadastro Mestre'!$C$5:$C$504,MATCH(C1305,'Cadastro Mestre'!$A$5:$A$504,0)),"código não encontrado"))</f>
        <v/>
      </c>
      <c r="E1305" s="24" t="str">
        <f aca="false">IF(C1305="","",IFERROR(INDEX('Cadastro Mestre'!$Q$5:$Q$504,MATCH(C1305,'Cadastro Mestre'!$A$5:$A$504,0)),""))</f>
        <v/>
      </c>
      <c r="F1305" s="21"/>
      <c r="G1305" s="21"/>
      <c r="H1305" s="21"/>
      <c r="I1305" s="21"/>
    </row>
    <row r="1306" customFormat="false" ht="15" hidden="false" customHeight="false" outlineLevel="0" collapsed="false">
      <c r="A1306" s="25"/>
      <c r="B1306" s="21"/>
      <c r="C1306" s="21"/>
      <c r="D1306" s="26" t="str">
        <f aca="false">IF(C1306="","",IFERROR(INDEX('Cadastro Mestre'!$C$5:$C$504,MATCH(C1306,'Cadastro Mestre'!$A$5:$A$504,0)),"código não encontrado"))</f>
        <v/>
      </c>
      <c r="E1306" s="24" t="str">
        <f aca="false">IF(C1306="","",IFERROR(INDEX('Cadastro Mestre'!$Q$5:$Q$504,MATCH(C1306,'Cadastro Mestre'!$A$5:$A$504,0)),""))</f>
        <v/>
      </c>
      <c r="F1306" s="21"/>
      <c r="G1306" s="21"/>
      <c r="H1306" s="21"/>
      <c r="I1306" s="21"/>
    </row>
    <row r="1307" customFormat="false" ht="15" hidden="false" customHeight="false" outlineLevel="0" collapsed="false">
      <c r="A1307" s="25"/>
      <c r="B1307" s="21"/>
      <c r="C1307" s="21"/>
      <c r="D1307" s="26" t="str">
        <f aca="false">IF(C1307="","",IFERROR(INDEX('Cadastro Mestre'!$C$5:$C$504,MATCH(C1307,'Cadastro Mestre'!$A$5:$A$504,0)),"código não encontrado"))</f>
        <v/>
      </c>
      <c r="E1307" s="24" t="str">
        <f aca="false">IF(C1307="","",IFERROR(INDEX('Cadastro Mestre'!$Q$5:$Q$504,MATCH(C1307,'Cadastro Mestre'!$A$5:$A$504,0)),""))</f>
        <v/>
      </c>
      <c r="F1307" s="21"/>
      <c r="G1307" s="21"/>
      <c r="H1307" s="21"/>
      <c r="I1307" s="21"/>
    </row>
    <row r="1308" customFormat="false" ht="15" hidden="false" customHeight="false" outlineLevel="0" collapsed="false">
      <c r="A1308" s="25"/>
      <c r="B1308" s="21"/>
      <c r="C1308" s="21"/>
      <c r="D1308" s="26" t="str">
        <f aca="false">IF(C1308="","",IFERROR(INDEX('Cadastro Mestre'!$C$5:$C$504,MATCH(C1308,'Cadastro Mestre'!$A$5:$A$504,0)),"código não encontrado"))</f>
        <v/>
      </c>
      <c r="E1308" s="24" t="str">
        <f aca="false">IF(C1308="","",IFERROR(INDEX('Cadastro Mestre'!$Q$5:$Q$504,MATCH(C1308,'Cadastro Mestre'!$A$5:$A$504,0)),""))</f>
        <v/>
      </c>
      <c r="F1308" s="21"/>
      <c r="G1308" s="21"/>
      <c r="H1308" s="21"/>
      <c r="I1308" s="21"/>
    </row>
    <row r="1309" customFormat="false" ht="15" hidden="false" customHeight="false" outlineLevel="0" collapsed="false">
      <c r="A1309" s="25"/>
      <c r="B1309" s="21"/>
      <c r="C1309" s="21"/>
      <c r="D1309" s="26" t="str">
        <f aca="false">IF(C1309="","",IFERROR(INDEX('Cadastro Mestre'!$C$5:$C$504,MATCH(C1309,'Cadastro Mestre'!$A$5:$A$504,0)),"código não encontrado"))</f>
        <v/>
      </c>
      <c r="E1309" s="24" t="str">
        <f aca="false">IF(C1309="","",IFERROR(INDEX('Cadastro Mestre'!$Q$5:$Q$504,MATCH(C1309,'Cadastro Mestre'!$A$5:$A$504,0)),""))</f>
        <v/>
      </c>
      <c r="F1309" s="21"/>
      <c r="G1309" s="21"/>
      <c r="H1309" s="21"/>
      <c r="I1309" s="21"/>
    </row>
    <row r="1310" customFormat="false" ht="15" hidden="false" customHeight="false" outlineLevel="0" collapsed="false">
      <c r="A1310" s="25"/>
      <c r="B1310" s="21"/>
      <c r="C1310" s="21"/>
      <c r="D1310" s="26" t="str">
        <f aca="false">IF(C1310="","",IFERROR(INDEX('Cadastro Mestre'!$C$5:$C$504,MATCH(C1310,'Cadastro Mestre'!$A$5:$A$504,0)),"código não encontrado"))</f>
        <v/>
      </c>
      <c r="E1310" s="24" t="str">
        <f aca="false">IF(C1310="","",IFERROR(INDEX('Cadastro Mestre'!$Q$5:$Q$504,MATCH(C1310,'Cadastro Mestre'!$A$5:$A$504,0)),""))</f>
        <v/>
      </c>
      <c r="F1310" s="21"/>
      <c r="G1310" s="21"/>
      <c r="H1310" s="21"/>
      <c r="I1310" s="21"/>
    </row>
    <row r="1311" customFormat="false" ht="15" hidden="false" customHeight="false" outlineLevel="0" collapsed="false">
      <c r="A1311" s="25"/>
      <c r="B1311" s="21"/>
      <c r="C1311" s="21"/>
      <c r="D1311" s="26" t="str">
        <f aca="false">IF(C1311="","",IFERROR(INDEX('Cadastro Mestre'!$C$5:$C$504,MATCH(C1311,'Cadastro Mestre'!$A$5:$A$504,0)),"código não encontrado"))</f>
        <v/>
      </c>
      <c r="E1311" s="24" t="str">
        <f aca="false">IF(C1311="","",IFERROR(INDEX('Cadastro Mestre'!$Q$5:$Q$504,MATCH(C1311,'Cadastro Mestre'!$A$5:$A$504,0)),""))</f>
        <v/>
      </c>
      <c r="F1311" s="21"/>
      <c r="G1311" s="21"/>
      <c r="H1311" s="21"/>
      <c r="I1311" s="21"/>
    </row>
    <row r="1312" customFormat="false" ht="15" hidden="false" customHeight="false" outlineLevel="0" collapsed="false">
      <c r="A1312" s="25"/>
      <c r="B1312" s="21"/>
      <c r="C1312" s="21"/>
      <c r="D1312" s="26" t="str">
        <f aca="false">IF(C1312="","",IFERROR(INDEX('Cadastro Mestre'!$C$5:$C$504,MATCH(C1312,'Cadastro Mestre'!$A$5:$A$504,0)),"código não encontrado"))</f>
        <v/>
      </c>
      <c r="E1312" s="24" t="str">
        <f aca="false">IF(C1312="","",IFERROR(INDEX('Cadastro Mestre'!$Q$5:$Q$504,MATCH(C1312,'Cadastro Mestre'!$A$5:$A$504,0)),""))</f>
        <v/>
      </c>
      <c r="F1312" s="21"/>
      <c r="G1312" s="21"/>
      <c r="H1312" s="21"/>
      <c r="I1312" s="21"/>
    </row>
    <row r="1313" customFormat="false" ht="15" hidden="false" customHeight="false" outlineLevel="0" collapsed="false">
      <c r="A1313" s="25"/>
      <c r="B1313" s="21"/>
      <c r="C1313" s="21"/>
      <c r="D1313" s="26" t="str">
        <f aca="false">IF(C1313="","",IFERROR(INDEX('Cadastro Mestre'!$C$5:$C$504,MATCH(C1313,'Cadastro Mestre'!$A$5:$A$504,0)),"código não encontrado"))</f>
        <v/>
      </c>
      <c r="E1313" s="24" t="str">
        <f aca="false">IF(C1313="","",IFERROR(INDEX('Cadastro Mestre'!$Q$5:$Q$504,MATCH(C1313,'Cadastro Mestre'!$A$5:$A$504,0)),""))</f>
        <v/>
      </c>
      <c r="F1313" s="21"/>
      <c r="G1313" s="21"/>
      <c r="H1313" s="21"/>
      <c r="I1313" s="21"/>
    </row>
    <row r="1314" customFormat="false" ht="15" hidden="false" customHeight="false" outlineLevel="0" collapsed="false">
      <c r="A1314" s="25"/>
      <c r="B1314" s="21"/>
      <c r="C1314" s="21"/>
      <c r="D1314" s="26" t="str">
        <f aca="false">IF(C1314="","",IFERROR(INDEX('Cadastro Mestre'!$C$5:$C$504,MATCH(C1314,'Cadastro Mestre'!$A$5:$A$504,0)),"código não encontrado"))</f>
        <v/>
      </c>
      <c r="E1314" s="24" t="str">
        <f aca="false">IF(C1314="","",IFERROR(INDEX('Cadastro Mestre'!$Q$5:$Q$504,MATCH(C1314,'Cadastro Mestre'!$A$5:$A$504,0)),""))</f>
        <v/>
      </c>
      <c r="F1314" s="21"/>
      <c r="G1314" s="21"/>
      <c r="H1314" s="21"/>
      <c r="I1314" s="21"/>
    </row>
    <row r="1315" customFormat="false" ht="15" hidden="false" customHeight="false" outlineLevel="0" collapsed="false">
      <c r="A1315" s="25"/>
      <c r="B1315" s="21"/>
      <c r="C1315" s="21"/>
      <c r="D1315" s="26" t="str">
        <f aca="false">IF(C1315="","",IFERROR(INDEX('Cadastro Mestre'!$C$5:$C$504,MATCH(C1315,'Cadastro Mestre'!$A$5:$A$504,0)),"código não encontrado"))</f>
        <v/>
      </c>
      <c r="E1315" s="24" t="str">
        <f aca="false">IF(C1315="","",IFERROR(INDEX('Cadastro Mestre'!$Q$5:$Q$504,MATCH(C1315,'Cadastro Mestre'!$A$5:$A$504,0)),""))</f>
        <v/>
      </c>
      <c r="F1315" s="21"/>
      <c r="G1315" s="21"/>
      <c r="H1315" s="21"/>
      <c r="I1315" s="21"/>
    </row>
    <row r="1316" customFormat="false" ht="15" hidden="false" customHeight="false" outlineLevel="0" collapsed="false">
      <c r="A1316" s="25"/>
      <c r="B1316" s="21"/>
      <c r="C1316" s="21"/>
      <c r="D1316" s="26" t="str">
        <f aca="false">IF(C1316="","",IFERROR(INDEX('Cadastro Mestre'!$C$5:$C$504,MATCH(C1316,'Cadastro Mestre'!$A$5:$A$504,0)),"código não encontrado"))</f>
        <v/>
      </c>
      <c r="E1316" s="24" t="str">
        <f aca="false">IF(C1316="","",IFERROR(INDEX('Cadastro Mestre'!$Q$5:$Q$504,MATCH(C1316,'Cadastro Mestre'!$A$5:$A$504,0)),""))</f>
        <v/>
      </c>
      <c r="F1316" s="21"/>
      <c r="G1316" s="21"/>
      <c r="H1316" s="21"/>
      <c r="I1316" s="21"/>
    </row>
    <row r="1317" customFormat="false" ht="15" hidden="false" customHeight="false" outlineLevel="0" collapsed="false">
      <c r="A1317" s="25"/>
      <c r="B1317" s="21"/>
      <c r="C1317" s="21"/>
      <c r="D1317" s="26" t="str">
        <f aca="false">IF(C1317="","",IFERROR(INDEX('Cadastro Mestre'!$C$5:$C$504,MATCH(C1317,'Cadastro Mestre'!$A$5:$A$504,0)),"código não encontrado"))</f>
        <v/>
      </c>
      <c r="E1317" s="24" t="str">
        <f aca="false">IF(C1317="","",IFERROR(INDEX('Cadastro Mestre'!$Q$5:$Q$504,MATCH(C1317,'Cadastro Mestre'!$A$5:$A$504,0)),""))</f>
        <v/>
      </c>
      <c r="F1317" s="21"/>
      <c r="G1317" s="21"/>
      <c r="H1317" s="21"/>
      <c r="I1317" s="21"/>
    </row>
    <row r="1318" customFormat="false" ht="15" hidden="false" customHeight="false" outlineLevel="0" collapsed="false">
      <c r="A1318" s="25"/>
      <c r="B1318" s="21"/>
      <c r="C1318" s="21"/>
      <c r="D1318" s="26" t="str">
        <f aca="false">IF(C1318="","",IFERROR(INDEX('Cadastro Mestre'!$C$5:$C$504,MATCH(C1318,'Cadastro Mestre'!$A$5:$A$504,0)),"código não encontrado"))</f>
        <v/>
      </c>
      <c r="E1318" s="24" t="str">
        <f aca="false">IF(C1318="","",IFERROR(INDEX('Cadastro Mestre'!$Q$5:$Q$504,MATCH(C1318,'Cadastro Mestre'!$A$5:$A$504,0)),""))</f>
        <v/>
      </c>
      <c r="F1318" s="21"/>
      <c r="G1318" s="21"/>
      <c r="H1318" s="21"/>
      <c r="I1318" s="21"/>
    </row>
    <row r="1319" customFormat="false" ht="15" hidden="false" customHeight="false" outlineLevel="0" collapsed="false">
      <c r="A1319" s="25"/>
      <c r="B1319" s="21"/>
      <c r="C1319" s="21"/>
      <c r="D1319" s="26" t="str">
        <f aca="false">IF(C1319="","",IFERROR(INDEX('Cadastro Mestre'!$C$5:$C$504,MATCH(C1319,'Cadastro Mestre'!$A$5:$A$504,0)),"código não encontrado"))</f>
        <v/>
      </c>
      <c r="E1319" s="24" t="str">
        <f aca="false">IF(C1319="","",IFERROR(INDEX('Cadastro Mestre'!$Q$5:$Q$504,MATCH(C1319,'Cadastro Mestre'!$A$5:$A$504,0)),""))</f>
        <v/>
      </c>
      <c r="F1319" s="21"/>
      <c r="G1319" s="21"/>
      <c r="H1319" s="21"/>
      <c r="I1319" s="21"/>
    </row>
    <row r="1320" customFormat="false" ht="15" hidden="false" customHeight="false" outlineLevel="0" collapsed="false">
      <c r="A1320" s="25"/>
      <c r="B1320" s="21"/>
      <c r="C1320" s="21"/>
      <c r="D1320" s="26" t="str">
        <f aca="false">IF(C1320="","",IFERROR(INDEX('Cadastro Mestre'!$C$5:$C$504,MATCH(C1320,'Cadastro Mestre'!$A$5:$A$504,0)),"código não encontrado"))</f>
        <v/>
      </c>
      <c r="E1320" s="24" t="str">
        <f aca="false">IF(C1320="","",IFERROR(INDEX('Cadastro Mestre'!$Q$5:$Q$504,MATCH(C1320,'Cadastro Mestre'!$A$5:$A$504,0)),""))</f>
        <v/>
      </c>
      <c r="F1320" s="21"/>
      <c r="G1320" s="21"/>
      <c r="H1320" s="21"/>
      <c r="I1320" s="21"/>
    </row>
    <row r="1321" customFormat="false" ht="15" hidden="false" customHeight="false" outlineLevel="0" collapsed="false">
      <c r="A1321" s="25"/>
      <c r="B1321" s="21"/>
      <c r="C1321" s="21"/>
      <c r="D1321" s="26" t="str">
        <f aca="false">IF(C1321="","",IFERROR(INDEX('Cadastro Mestre'!$C$5:$C$504,MATCH(C1321,'Cadastro Mestre'!$A$5:$A$504,0)),"código não encontrado"))</f>
        <v/>
      </c>
      <c r="E1321" s="24" t="str">
        <f aca="false">IF(C1321="","",IFERROR(INDEX('Cadastro Mestre'!$Q$5:$Q$504,MATCH(C1321,'Cadastro Mestre'!$A$5:$A$504,0)),""))</f>
        <v/>
      </c>
      <c r="F1321" s="21"/>
      <c r="G1321" s="21"/>
      <c r="H1321" s="21"/>
      <c r="I1321" s="21"/>
    </row>
    <row r="1322" customFormat="false" ht="15" hidden="false" customHeight="false" outlineLevel="0" collapsed="false">
      <c r="A1322" s="25"/>
      <c r="B1322" s="21"/>
      <c r="C1322" s="21"/>
      <c r="D1322" s="26" t="str">
        <f aca="false">IF(C1322="","",IFERROR(INDEX('Cadastro Mestre'!$C$5:$C$504,MATCH(C1322,'Cadastro Mestre'!$A$5:$A$504,0)),"código não encontrado"))</f>
        <v/>
      </c>
      <c r="E1322" s="24" t="str">
        <f aca="false">IF(C1322="","",IFERROR(INDEX('Cadastro Mestre'!$Q$5:$Q$504,MATCH(C1322,'Cadastro Mestre'!$A$5:$A$504,0)),""))</f>
        <v/>
      </c>
      <c r="F1322" s="21"/>
      <c r="G1322" s="21"/>
      <c r="H1322" s="21"/>
      <c r="I1322" s="21"/>
    </row>
    <row r="1323" customFormat="false" ht="15" hidden="false" customHeight="false" outlineLevel="0" collapsed="false">
      <c r="A1323" s="25"/>
      <c r="B1323" s="21"/>
      <c r="C1323" s="21"/>
      <c r="D1323" s="26" t="str">
        <f aca="false">IF(C1323="","",IFERROR(INDEX('Cadastro Mestre'!$C$5:$C$504,MATCH(C1323,'Cadastro Mestre'!$A$5:$A$504,0)),"código não encontrado"))</f>
        <v/>
      </c>
      <c r="E1323" s="24" t="str">
        <f aca="false">IF(C1323="","",IFERROR(INDEX('Cadastro Mestre'!$Q$5:$Q$504,MATCH(C1323,'Cadastro Mestre'!$A$5:$A$504,0)),""))</f>
        <v/>
      </c>
      <c r="F1323" s="21"/>
      <c r="G1323" s="21"/>
      <c r="H1323" s="21"/>
      <c r="I1323" s="21"/>
    </row>
    <row r="1324" customFormat="false" ht="15" hidden="false" customHeight="false" outlineLevel="0" collapsed="false">
      <c r="A1324" s="25"/>
      <c r="B1324" s="21"/>
      <c r="C1324" s="21"/>
      <c r="D1324" s="26" t="str">
        <f aca="false">IF(C1324="","",IFERROR(INDEX('Cadastro Mestre'!$C$5:$C$504,MATCH(C1324,'Cadastro Mestre'!$A$5:$A$504,0)),"código não encontrado"))</f>
        <v/>
      </c>
      <c r="E1324" s="24" t="str">
        <f aca="false">IF(C1324="","",IFERROR(INDEX('Cadastro Mestre'!$Q$5:$Q$504,MATCH(C1324,'Cadastro Mestre'!$A$5:$A$504,0)),""))</f>
        <v/>
      </c>
      <c r="F1324" s="21"/>
      <c r="G1324" s="21"/>
      <c r="H1324" s="21"/>
      <c r="I1324" s="21"/>
    </row>
    <row r="1325" customFormat="false" ht="15" hidden="false" customHeight="false" outlineLevel="0" collapsed="false">
      <c r="A1325" s="25"/>
      <c r="B1325" s="21"/>
      <c r="C1325" s="21"/>
      <c r="D1325" s="26" t="str">
        <f aca="false">IF(C1325="","",IFERROR(INDEX('Cadastro Mestre'!$C$5:$C$504,MATCH(C1325,'Cadastro Mestre'!$A$5:$A$504,0)),"código não encontrado"))</f>
        <v/>
      </c>
      <c r="E1325" s="24" t="str">
        <f aca="false">IF(C1325="","",IFERROR(INDEX('Cadastro Mestre'!$Q$5:$Q$504,MATCH(C1325,'Cadastro Mestre'!$A$5:$A$504,0)),""))</f>
        <v/>
      </c>
      <c r="F1325" s="21"/>
      <c r="G1325" s="21"/>
      <c r="H1325" s="21"/>
      <c r="I1325" s="21"/>
    </row>
    <row r="1326" customFormat="false" ht="15" hidden="false" customHeight="false" outlineLevel="0" collapsed="false">
      <c r="A1326" s="25"/>
      <c r="B1326" s="21"/>
      <c r="C1326" s="21"/>
      <c r="D1326" s="26" t="str">
        <f aca="false">IF(C1326="","",IFERROR(INDEX('Cadastro Mestre'!$C$5:$C$504,MATCH(C1326,'Cadastro Mestre'!$A$5:$A$504,0)),"código não encontrado"))</f>
        <v/>
      </c>
      <c r="E1326" s="24" t="str">
        <f aca="false">IF(C1326="","",IFERROR(INDEX('Cadastro Mestre'!$Q$5:$Q$504,MATCH(C1326,'Cadastro Mestre'!$A$5:$A$504,0)),""))</f>
        <v/>
      </c>
      <c r="F1326" s="21"/>
      <c r="G1326" s="21"/>
      <c r="H1326" s="21"/>
      <c r="I1326" s="21"/>
    </row>
    <row r="1327" customFormat="false" ht="15" hidden="false" customHeight="false" outlineLevel="0" collapsed="false">
      <c r="A1327" s="25"/>
      <c r="B1327" s="21"/>
      <c r="C1327" s="21"/>
      <c r="D1327" s="26" t="str">
        <f aca="false">IF(C1327="","",IFERROR(INDEX('Cadastro Mestre'!$C$5:$C$504,MATCH(C1327,'Cadastro Mestre'!$A$5:$A$504,0)),"código não encontrado"))</f>
        <v/>
      </c>
      <c r="E1327" s="24" t="str">
        <f aca="false">IF(C1327="","",IFERROR(INDEX('Cadastro Mestre'!$Q$5:$Q$504,MATCH(C1327,'Cadastro Mestre'!$A$5:$A$504,0)),""))</f>
        <v/>
      </c>
      <c r="F1327" s="21"/>
      <c r="G1327" s="21"/>
      <c r="H1327" s="21"/>
      <c r="I1327" s="21"/>
    </row>
    <row r="1328" customFormat="false" ht="15" hidden="false" customHeight="false" outlineLevel="0" collapsed="false">
      <c r="A1328" s="25"/>
      <c r="B1328" s="21"/>
      <c r="C1328" s="21"/>
      <c r="D1328" s="26" t="str">
        <f aca="false">IF(C1328="","",IFERROR(INDEX('Cadastro Mestre'!$C$5:$C$504,MATCH(C1328,'Cadastro Mestre'!$A$5:$A$504,0)),"código não encontrado"))</f>
        <v/>
      </c>
      <c r="E1328" s="24" t="str">
        <f aca="false">IF(C1328="","",IFERROR(INDEX('Cadastro Mestre'!$Q$5:$Q$504,MATCH(C1328,'Cadastro Mestre'!$A$5:$A$504,0)),""))</f>
        <v/>
      </c>
      <c r="F1328" s="21"/>
      <c r="G1328" s="21"/>
      <c r="H1328" s="21"/>
      <c r="I1328" s="21"/>
    </row>
    <row r="1329" customFormat="false" ht="15" hidden="false" customHeight="false" outlineLevel="0" collapsed="false">
      <c r="A1329" s="25"/>
      <c r="B1329" s="21"/>
      <c r="C1329" s="21"/>
      <c r="D1329" s="26" t="str">
        <f aca="false">IF(C1329="","",IFERROR(INDEX('Cadastro Mestre'!$C$5:$C$504,MATCH(C1329,'Cadastro Mestre'!$A$5:$A$504,0)),"código não encontrado"))</f>
        <v/>
      </c>
      <c r="E1329" s="24" t="str">
        <f aca="false">IF(C1329="","",IFERROR(INDEX('Cadastro Mestre'!$Q$5:$Q$504,MATCH(C1329,'Cadastro Mestre'!$A$5:$A$504,0)),""))</f>
        <v/>
      </c>
      <c r="F1329" s="21"/>
      <c r="G1329" s="21"/>
      <c r="H1329" s="21"/>
      <c r="I1329" s="21"/>
    </row>
    <row r="1330" customFormat="false" ht="15" hidden="false" customHeight="false" outlineLevel="0" collapsed="false">
      <c r="A1330" s="25"/>
      <c r="B1330" s="21"/>
      <c r="C1330" s="21"/>
      <c r="D1330" s="26" t="str">
        <f aca="false">IF(C1330="","",IFERROR(INDEX('Cadastro Mestre'!$C$5:$C$504,MATCH(C1330,'Cadastro Mestre'!$A$5:$A$504,0)),"código não encontrado"))</f>
        <v/>
      </c>
      <c r="E1330" s="24" t="str">
        <f aca="false">IF(C1330="","",IFERROR(INDEX('Cadastro Mestre'!$Q$5:$Q$504,MATCH(C1330,'Cadastro Mestre'!$A$5:$A$504,0)),""))</f>
        <v/>
      </c>
      <c r="F1330" s="21"/>
      <c r="G1330" s="21"/>
      <c r="H1330" s="21"/>
      <c r="I1330" s="21"/>
    </row>
    <row r="1331" customFormat="false" ht="15" hidden="false" customHeight="false" outlineLevel="0" collapsed="false">
      <c r="A1331" s="25"/>
      <c r="B1331" s="21"/>
      <c r="C1331" s="21"/>
      <c r="D1331" s="26" t="str">
        <f aca="false">IF(C1331="","",IFERROR(INDEX('Cadastro Mestre'!$C$5:$C$504,MATCH(C1331,'Cadastro Mestre'!$A$5:$A$504,0)),"código não encontrado"))</f>
        <v/>
      </c>
      <c r="E1331" s="24" t="str">
        <f aca="false">IF(C1331="","",IFERROR(INDEX('Cadastro Mestre'!$Q$5:$Q$504,MATCH(C1331,'Cadastro Mestre'!$A$5:$A$504,0)),""))</f>
        <v/>
      </c>
      <c r="F1331" s="21"/>
      <c r="G1331" s="21"/>
      <c r="H1331" s="21"/>
      <c r="I1331" s="21"/>
    </row>
    <row r="1332" customFormat="false" ht="15" hidden="false" customHeight="false" outlineLevel="0" collapsed="false">
      <c r="A1332" s="25"/>
      <c r="B1332" s="21"/>
      <c r="C1332" s="21"/>
      <c r="D1332" s="26" t="str">
        <f aca="false">IF(C1332="","",IFERROR(INDEX('Cadastro Mestre'!$C$5:$C$504,MATCH(C1332,'Cadastro Mestre'!$A$5:$A$504,0)),"código não encontrado"))</f>
        <v/>
      </c>
      <c r="E1332" s="24" t="str">
        <f aca="false">IF(C1332="","",IFERROR(INDEX('Cadastro Mestre'!$Q$5:$Q$504,MATCH(C1332,'Cadastro Mestre'!$A$5:$A$504,0)),""))</f>
        <v/>
      </c>
      <c r="F1332" s="21"/>
      <c r="G1332" s="21"/>
      <c r="H1332" s="21"/>
      <c r="I1332" s="21"/>
    </row>
    <row r="1333" customFormat="false" ht="15" hidden="false" customHeight="false" outlineLevel="0" collapsed="false">
      <c r="A1333" s="25"/>
      <c r="B1333" s="21"/>
      <c r="C1333" s="21"/>
      <c r="D1333" s="26" t="str">
        <f aca="false">IF(C1333="","",IFERROR(INDEX('Cadastro Mestre'!$C$5:$C$504,MATCH(C1333,'Cadastro Mestre'!$A$5:$A$504,0)),"código não encontrado"))</f>
        <v/>
      </c>
      <c r="E1333" s="24" t="str">
        <f aca="false">IF(C1333="","",IFERROR(INDEX('Cadastro Mestre'!$Q$5:$Q$504,MATCH(C1333,'Cadastro Mestre'!$A$5:$A$504,0)),""))</f>
        <v/>
      </c>
      <c r="F1333" s="21"/>
      <c r="G1333" s="21"/>
      <c r="H1333" s="21"/>
      <c r="I1333" s="21"/>
    </row>
    <row r="1334" customFormat="false" ht="15" hidden="false" customHeight="false" outlineLevel="0" collapsed="false">
      <c r="A1334" s="25"/>
      <c r="B1334" s="21"/>
      <c r="C1334" s="21"/>
      <c r="D1334" s="26" t="str">
        <f aca="false">IF(C1334="","",IFERROR(INDEX('Cadastro Mestre'!$C$5:$C$504,MATCH(C1334,'Cadastro Mestre'!$A$5:$A$504,0)),"código não encontrado"))</f>
        <v/>
      </c>
      <c r="E1334" s="24" t="str">
        <f aca="false">IF(C1334="","",IFERROR(INDEX('Cadastro Mestre'!$Q$5:$Q$504,MATCH(C1334,'Cadastro Mestre'!$A$5:$A$504,0)),""))</f>
        <v/>
      </c>
      <c r="F1334" s="21"/>
      <c r="G1334" s="21"/>
      <c r="H1334" s="21"/>
      <c r="I1334" s="21"/>
    </row>
    <row r="1335" customFormat="false" ht="15" hidden="false" customHeight="false" outlineLevel="0" collapsed="false">
      <c r="A1335" s="25"/>
      <c r="B1335" s="21"/>
      <c r="C1335" s="21"/>
      <c r="D1335" s="26" t="str">
        <f aca="false">IF(C1335="","",IFERROR(INDEX('Cadastro Mestre'!$C$5:$C$504,MATCH(C1335,'Cadastro Mestre'!$A$5:$A$504,0)),"código não encontrado"))</f>
        <v/>
      </c>
      <c r="E1335" s="24" t="str">
        <f aca="false">IF(C1335="","",IFERROR(INDEX('Cadastro Mestre'!$Q$5:$Q$504,MATCH(C1335,'Cadastro Mestre'!$A$5:$A$504,0)),""))</f>
        <v/>
      </c>
      <c r="F1335" s="21"/>
      <c r="G1335" s="21"/>
      <c r="H1335" s="21"/>
      <c r="I1335" s="21"/>
    </row>
    <row r="1336" customFormat="false" ht="15" hidden="false" customHeight="false" outlineLevel="0" collapsed="false">
      <c r="A1336" s="25"/>
      <c r="B1336" s="21"/>
      <c r="C1336" s="21"/>
      <c r="D1336" s="26" t="str">
        <f aca="false">IF(C1336="","",IFERROR(INDEX('Cadastro Mestre'!$C$5:$C$504,MATCH(C1336,'Cadastro Mestre'!$A$5:$A$504,0)),"código não encontrado"))</f>
        <v/>
      </c>
      <c r="E1336" s="24" t="str">
        <f aca="false">IF(C1336="","",IFERROR(INDEX('Cadastro Mestre'!$Q$5:$Q$504,MATCH(C1336,'Cadastro Mestre'!$A$5:$A$504,0)),""))</f>
        <v/>
      </c>
      <c r="F1336" s="21"/>
      <c r="G1336" s="21"/>
      <c r="H1336" s="21"/>
      <c r="I1336" s="21"/>
    </row>
    <row r="1337" customFormat="false" ht="15" hidden="false" customHeight="false" outlineLevel="0" collapsed="false">
      <c r="A1337" s="25"/>
      <c r="B1337" s="21"/>
      <c r="C1337" s="21"/>
      <c r="D1337" s="26" t="str">
        <f aca="false">IF(C1337="","",IFERROR(INDEX('Cadastro Mestre'!$C$5:$C$504,MATCH(C1337,'Cadastro Mestre'!$A$5:$A$504,0)),"código não encontrado"))</f>
        <v/>
      </c>
      <c r="E1337" s="24" t="str">
        <f aca="false">IF(C1337="","",IFERROR(INDEX('Cadastro Mestre'!$Q$5:$Q$504,MATCH(C1337,'Cadastro Mestre'!$A$5:$A$504,0)),""))</f>
        <v/>
      </c>
      <c r="F1337" s="21"/>
      <c r="G1337" s="21"/>
      <c r="H1337" s="21"/>
      <c r="I1337" s="21"/>
    </row>
    <row r="1338" customFormat="false" ht="15" hidden="false" customHeight="false" outlineLevel="0" collapsed="false">
      <c r="A1338" s="25"/>
      <c r="B1338" s="21"/>
      <c r="C1338" s="21"/>
      <c r="D1338" s="26" t="str">
        <f aca="false">IF(C1338="","",IFERROR(INDEX('Cadastro Mestre'!$C$5:$C$504,MATCH(C1338,'Cadastro Mestre'!$A$5:$A$504,0)),"código não encontrado"))</f>
        <v/>
      </c>
      <c r="E1338" s="24" t="str">
        <f aca="false">IF(C1338="","",IFERROR(INDEX('Cadastro Mestre'!$Q$5:$Q$504,MATCH(C1338,'Cadastro Mestre'!$A$5:$A$504,0)),""))</f>
        <v/>
      </c>
      <c r="F1338" s="21"/>
      <c r="G1338" s="21"/>
      <c r="H1338" s="21"/>
      <c r="I1338" s="21"/>
    </row>
    <row r="1339" customFormat="false" ht="15" hidden="false" customHeight="false" outlineLevel="0" collapsed="false">
      <c r="A1339" s="25"/>
      <c r="B1339" s="21"/>
      <c r="C1339" s="21"/>
      <c r="D1339" s="26" t="str">
        <f aca="false">IF(C1339="","",IFERROR(INDEX('Cadastro Mestre'!$C$5:$C$504,MATCH(C1339,'Cadastro Mestre'!$A$5:$A$504,0)),"código não encontrado"))</f>
        <v/>
      </c>
      <c r="E1339" s="24" t="str">
        <f aca="false">IF(C1339="","",IFERROR(INDEX('Cadastro Mestre'!$Q$5:$Q$504,MATCH(C1339,'Cadastro Mestre'!$A$5:$A$504,0)),""))</f>
        <v/>
      </c>
      <c r="F1339" s="21"/>
      <c r="G1339" s="21"/>
      <c r="H1339" s="21"/>
      <c r="I1339" s="21"/>
    </row>
    <row r="1340" customFormat="false" ht="15" hidden="false" customHeight="false" outlineLevel="0" collapsed="false">
      <c r="A1340" s="25"/>
      <c r="B1340" s="21"/>
      <c r="C1340" s="21"/>
      <c r="D1340" s="26" t="str">
        <f aca="false">IF(C1340="","",IFERROR(INDEX('Cadastro Mestre'!$C$5:$C$504,MATCH(C1340,'Cadastro Mestre'!$A$5:$A$504,0)),"código não encontrado"))</f>
        <v/>
      </c>
      <c r="E1340" s="24" t="str">
        <f aca="false">IF(C1340="","",IFERROR(INDEX('Cadastro Mestre'!$Q$5:$Q$504,MATCH(C1340,'Cadastro Mestre'!$A$5:$A$504,0)),""))</f>
        <v/>
      </c>
      <c r="F1340" s="21"/>
      <c r="G1340" s="21"/>
      <c r="H1340" s="21"/>
      <c r="I1340" s="21"/>
    </row>
    <row r="1341" customFormat="false" ht="15" hidden="false" customHeight="false" outlineLevel="0" collapsed="false">
      <c r="A1341" s="25"/>
      <c r="B1341" s="21"/>
      <c r="C1341" s="21"/>
      <c r="D1341" s="26" t="str">
        <f aca="false">IF(C1341="","",IFERROR(INDEX('Cadastro Mestre'!$C$5:$C$504,MATCH(C1341,'Cadastro Mestre'!$A$5:$A$504,0)),"código não encontrado"))</f>
        <v/>
      </c>
      <c r="E1341" s="24" t="str">
        <f aca="false">IF(C1341="","",IFERROR(INDEX('Cadastro Mestre'!$Q$5:$Q$504,MATCH(C1341,'Cadastro Mestre'!$A$5:$A$504,0)),""))</f>
        <v/>
      </c>
      <c r="F1341" s="21"/>
      <c r="G1341" s="21"/>
      <c r="H1341" s="21"/>
      <c r="I1341" s="21"/>
    </row>
    <row r="1342" customFormat="false" ht="15" hidden="false" customHeight="false" outlineLevel="0" collapsed="false">
      <c r="A1342" s="25"/>
      <c r="B1342" s="21"/>
      <c r="C1342" s="21"/>
      <c r="D1342" s="26" t="str">
        <f aca="false">IF(C1342="","",IFERROR(INDEX('Cadastro Mestre'!$C$5:$C$504,MATCH(C1342,'Cadastro Mestre'!$A$5:$A$504,0)),"código não encontrado"))</f>
        <v/>
      </c>
      <c r="E1342" s="24" t="str">
        <f aca="false">IF(C1342="","",IFERROR(INDEX('Cadastro Mestre'!$Q$5:$Q$504,MATCH(C1342,'Cadastro Mestre'!$A$5:$A$504,0)),""))</f>
        <v/>
      </c>
      <c r="F1342" s="21"/>
      <c r="G1342" s="21"/>
      <c r="H1342" s="21"/>
      <c r="I1342" s="21"/>
    </row>
    <row r="1343" customFormat="false" ht="15" hidden="false" customHeight="false" outlineLevel="0" collapsed="false">
      <c r="A1343" s="25"/>
      <c r="B1343" s="21"/>
      <c r="C1343" s="21"/>
      <c r="D1343" s="26" t="str">
        <f aca="false">IF(C1343="","",IFERROR(INDEX('Cadastro Mestre'!$C$5:$C$504,MATCH(C1343,'Cadastro Mestre'!$A$5:$A$504,0)),"código não encontrado"))</f>
        <v/>
      </c>
      <c r="E1343" s="24" t="str">
        <f aca="false">IF(C1343="","",IFERROR(INDEX('Cadastro Mestre'!$Q$5:$Q$504,MATCH(C1343,'Cadastro Mestre'!$A$5:$A$504,0)),""))</f>
        <v/>
      </c>
      <c r="F1343" s="21"/>
      <c r="G1343" s="21"/>
      <c r="H1343" s="21"/>
      <c r="I1343" s="21"/>
    </row>
    <row r="1344" customFormat="false" ht="15" hidden="false" customHeight="false" outlineLevel="0" collapsed="false">
      <c r="A1344" s="25"/>
      <c r="B1344" s="21"/>
      <c r="C1344" s="21"/>
      <c r="D1344" s="26" t="str">
        <f aca="false">IF(C1344="","",IFERROR(INDEX('Cadastro Mestre'!$C$5:$C$504,MATCH(C1344,'Cadastro Mestre'!$A$5:$A$504,0)),"código não encontrado"))</f>
        <v/>
      </c>
      <c r="E1344" s="24" t="str">
        <f aca="false">IF(C1344="","",IFERROR(INDEX('Cadastro Mestre'!$Q$5:$Q$504,MATCH(C1344,'Cadastro Mestre'!$A$5:$A$504,0)),""))</f>
        <v/>
      </c>
      <c r="F1344" s="21"/>
      <c r="G1344" s="21"/>
      <c r="H1344" s="21"/>
      <c r="I1344" s="21"/>
    </row>
    <row r="1345" customFormat="false" ht="15" hidden="false" customHeight="false" outlineLevel="0" collapsed="false">
      <c r="A1345" s="25"/>
      <c r="B1345" s="21"/>
      <c r="C1345" s="21"/>
      <c r="D1345" s="26" t="str">
        <f aca="false">IF(C1345="","",IFERROR(INDEX('Cadastro Mestre'!$C$5:$C$504,MATCH(C1345,'Cadastro Mestre'!$A$5:$A$504,0)),"código não encontrado"))</f>
        <v/>
      </c>
      <c r="E1345" s="24" t="str">
        <f aca="false">IF(C1345="","",IFERROR(INDEX('Cadastro Mestre'!$Q$5:$Q$504,MATCH(C1345,'Cadastro Mestre'!$A$5:$A$504,0)),""))</f>
        <v/>
      </c>
      <c r="F1345" s="21"/>
      <c r="G1345" s="21"/>
      <c r="H1345" s="21"/>
      <c r="I1345" s="21"/>
    </row>
    <row r="1346" customFormat="false" ht="15" hidden="false" customHeight="false" outlineLevel="0" collapsed="false">
      <c r="A1346" s="25"/>
      <c r="B1346" s="21"/>
      <c r="C1346" s="21"/>
      <c r="D1346" s="26" t="str">
        <f aca="false">IF(C1346="","",IFERROR(INDEX('Cadastro Mestre'!$C$5:$C$504,MATCH(C1346,'Cadastro Mestre'!$A$5:$A$504,0)),"código não encontrado"))</f>
        <v/>
      </c>
      <c r="E1346" s="24" t="str">
        <f aca="false">IF(C1346="","",IFERROR(INDEX('Cadastro Mestre'!$Q$5:$Q$504,MATCH(C1346,'Cadastro Mestre'!$A$5:$A$504,0)),""))</f>
        <v/>
      </c>
      <c r="F1346" s="21"/>
      <c r="G1346" s="21"/>
      <c r="H1346" s="21"/>
      <c r="I1346" s="21"/>
    </row>
    <row r="1347" customFormat="false" ht="15" hidden="false" customHeight="false" outlineLevel="0" collapsed="false">
      <c r="A1347" s="25"/>
      <c r="B1347" s="21"/>
      <c r="C1347" s="21"/>
      <c r="D1347" s="26" t="str">
        <f aca="false">IF(C1347="","",IFERROR(INDEX('Cadastro Mestre'!$C$5:$C$504,MATCH(C1347,'Cadastro Mestre'!$A$5:$A$504,0)),"código não encontrado"))</f>
        <v/>
      </c>
      <c r="E1347" s="24" t="str">
        <f aca="false">IF(C1347="","",IFERROR(INDEX('Cadastro Mestre'!$Q$5:$Q$504,MATCH(C1347,'Cadastro Mestre'!$A$5:$A$504,0)),""))</f>
        <v/>
      </c>
      <c r="F1347" s="21"/>
      <c r="G1347" s="21"/>
      <c r="H1347" s="21"/>
      <c r="I1347" s="21"/>
    </row>
    <row r="1348" customFormat="false" ht="15" hidden="false" customHeight="false" outlineLevel="0" collapsed="false">
      <c r="A1348" s="25"/>
      <c r="B1348" s="21"/>
      <c r="C1348" s="21"/>
      <c r="D1348" s="26" t="str">
        <f aca="false">IF(C1348="","",IFERROR(INDEX('Cadastro Mestre'!$C$5:$C$504,MATCH(C1348,'Cadastro Mestre'!$A$5:$A$504,0)),"código não encontrado"))</f>
        <v/>
      </c>
      <c r="E1348" s="24" t="str">
        <f aca="false">IF(C1348="","",IFERROR(INDEX('Cadastro Mestre'!$Q$5:$Q$504,MATCH(C1348,'Cadastro Mestre'!$A$5:$A$504,0)),""))</f>
        <v/>
      </c>
      <c r="F1348" s="21"/>
      <c r="G1348" s="21"/>
      <c r="H1348" s="21"/>
      <c r="I1348" s="21"/>
    </row>
    <row r="1349" customFormat="false" ht="15" hidden="false" customHeight="false" outlineLevel="0" collapsed="false">
      <c r="A1349" s="25"/>
      <c r="B1349" s="21"/>
      <c r="C1349" s="21"/>
      <c r="D1349" s="26" t="str">
        <f aca="false">IF(C1349="","",IFERROR(INDEX('Cadastro Mestre'!$C$5:$C$504,MATCH(C1349,'Cadastro Mestre'!$A$5:$A$504,0)),"código não encontrado"))</f>
        <v/>
      </c>
      <c r="E1349" s="24" t="str">
        <f aca="false">IF(C1349="","",IFERROR(INDEX('Cadastro Mestre'!$Q$5:$Q$504,MATCH(C1349,'Cadastro Mestre'!$A$5:$A$504,0)),""))</f>
        <v/>
      </c>
      <c r="F1349" s="21"/>
      <c r="G1349" s="21"/>
      <c r="H1349" s="21"/>
      <c r="I1349" s="21"/>
    </row>
    <row r="1350" customFormat="false" ht="15" hidden="false" customHeight="false" outlineLevel="0" collapsed="false">
      <c r="A1350" s="25"/>
      <c r="B1350" s="21"/>
      <c r="C1350" s="21"/>
      <c r="D1350" s="26" t="str">
        <f aca="false">IF(C1350="","",IFERROR(INDEX('Cadastro Mestre'!$C$5:$C$504,MATCH(C1350,'Cadastro Mestre'!$A$5:$A$504,0)),"código não encontrado"))</f>
        <v/>
      </c>
      <c r="E1350" s="24" t="str">
        <f aca="false">IF(C1350="","",IFERROR(INDEX('Cadastro Mestre'!$Q$5:$Q$504,MATCH(C1350,'Cadastro Mestre'!$A$5:$A$504,0)),""))</f>
        <v/>
      </c>
      <c r="F1350" s="21"/>
      <c r="G1350" s="21"/>
      <c r="H1350" s="21"/>
      <c r="I1350" s="21"/>
    </row>
    <row r="1351" customFormat="false" ht="15" hidden="false" customHeight="false" outlineLevel="0" collapsed="false">
      <c r="A1351" s="25"/>
      <c r="B1351" s="21"/>
      <c r="C1351" s="21"/>
      <c r="D1351" s="26" t="str">
        <f aca="false">IF(C1351="","",IFERROR(INDEX('Cadastro Mestre'!$C$5:$C$504,MATCH(C1351,'Cadastro Mestre'!$A$5:$A$504,0)),"código não encontrado"))</f>
        <v/>
      </c>
      <c r="E1351" s="24" t="str">
        <f aca="false">IF(C1351="","",IFERROR(INDEX('Cadastro Mestre'!$Q$5:$Q$504,MATCH(C1351,'Cadastro Mestre'!$A$5:$A$504,0)),""))</f>
        <v/>
      </c>
      <c r="F1351" s="21"/>
      <c r="G1351" s="21"/>
      <c r="H1351" s="21"/>
      <c r="I1351" s="21"/>
    </row>
    <row r="1352" customFormat="false" ht="15" hidden="false" customHeight="false" outlineLevel="0" collapsed="false">
      <c r="A1352" s="25"/>
      <c r="B1352" s="21"/>
      <c r="C1352" s="21"/>
      <c r="D1352" s="26" t="str">
        <f aca="false">IF(C1352="","",IFERROR(INDEX('Cadastro Mestre'!$C$5:$C$504,MATCH(C1352,'Cadastro Mestre'!$A$5:$A$504,0)),"código não encontrado"))</f>
        <v/>
      </c>
      <c r="E1352" s="24" t="str">
        <f aca="false">IF(C1352="","",IFERROR(INDEX('Cadastro Mestre'!$Q$5:$Q$504,MATCH(C1352,'Cadastro Mestre'!$A$5:$A$504,0)),""))</f>
        <v/>
      </c>
      <c r="F1352" s="21"/>
      <c r="G1352" s="21"/>
      <c r="H1352" s="21"/>
      <c r="I1352" s="21"/>
    </row>
    <row r="1353" customFormat="false" ht="15" hidden="false" customHeight="false" outlineLevel="0" collapsed="false">
      <c r="A1353" s="25"/>
      <c r="B1353" s="21"/>
      <c r="C1353" s="21"/>
      <c r="D1353" s="26" t="str">
        <f aca="false">IF(C1353="","",IFERROR(INDEX('Cadastro Mestre'!$C$5:$C$504,MATCH(C1353,'Cadastro Mestre'!$A$5:$A$504,0)),"código não encontrado"))</f>
        <v/>
      </c>
      <c r="E1353" s="24" t="str">
        <f aca="false">IF(C1353="","",IFERROR(INDEX('Cadastro Mestre'!$Q$5:$Q$504,MATCH(C1353,'Cadastro Mestre'!$A$5:$A$504,0)),""))</f>
        <v/>
      </c>
      <c r="F1353" s="21"/>
      <c r="G1353" s="21"/>
      <c r="H1353" s="21"/>
      <c r="I1353" s="21"/>
    </row>
    <row r="1354" customFormat="false" ht="15" hidden="false" customHeight="false" outlineLevel="0" collapsed="false">
      <c r="A1354" s="25"/>
      <c r="B1354" s="21"/>
      <c r="C1354" s="21"/>
      <c r="D1354" s="26" t="str">
        <f aca="false">IF(C1354="","",IFERROR(INDEX('Cadastro Mestre'!$C$5:$C$504,MATCH(C1354,'Cadastro Mestre'!$A$5:$A$504,0)),"código não encontrado"))</f>
        <v/>
      </c>
      <c r="E1354" s="24" t="str">
        <f aca="false">IF(C1354="","",IFERROR(INDEX('Cadastro Mestre'!$Q$5:$Q$504,MATCH(C1354,'Cadastro Mestre'!$A$5:$A$504,0)),""))</f>
        <v/>
      </c>
      <c r="F1354" s="21"/>
      <c r="G1354" s="21"/>
      <c r="H1354" s="21"/>
      <c r="I1354" s="21"/>
    </row>
    <row r="1355" customFormat="false" ht="15" hidden="false" customHeight="false" outlineLevel="0" collapsed="false">
      <c r="A1355" s="25"/>
      <c r="B1355" s="21"/>
      <c r="C1355" s="21"/>
      <c r="D1355" s="26" t="str">
        <f aca="false">IF(C1355="","",IFERROR(INDEX('Cadastro Mestre'!$C$5:$C$504,MATCH(C1355,'Cadastro Mestre'!$A$5:$A$504,0)),"código não encontrado"))</f>
        <v/>
      </c>
      <c r="E1355" s="24" t="str">
        <f aca="false">IF(C1355="","",IFERROR(INDEX('Cadastro Mestre'!$Q$5:$Q$504,MATCH(C1355,'Cadastro Mestre'!$A$5:$A$504,0)),""))</f>
        <v/>
      </c>
      <c r="F1355" s="21"/>
      <c r="G1355" s="21"/>
      <c r="H1355" s="21"/>
      <c r="I1355" s="21"/>
    </row>
    <row r="1356" customFormat="false" ht="15" hidden="false" customHeight="false" outlineLevel="0" collapsed="false">
      <c r="A1356" s="25"/>
      <c r="B1356" s="21"/>
      <c r="C1356" s="21"/>
      <c r="D1356" s="26" t="str">
        <f aca="false">IF(C1356="","",IFERROR(INDEX('Cadastro Mestre'!$C$5:$C$504,MATCH(C1356,'Cadastro Mestre'!$A$5:$A$504,0)),"código não encontrado"))</f>
        <v/>
      </c>
      <c r="E1356" s="24" t="str">
        <f aca="false">IF(C1356="","",IFERROR(INDEX('Cadastro Mestre'!$Q$5:$Q$504,MATCH(C1356,'Cadastro Mestre'!$A$5:$A$504,0)),""))</f>
        <v/>
      </c>
      <c r="F1356" s="21"/>
      <c r="G1356" s="21"/>
      <c r="H1356" s="21"/>
      <c r="I1356" s="21"/>
    </row>
    <row r="1357" customFormat="false" ht="15" hidden="false" customHeight="false" outlineLevel="0" collapsed="false">
      <c r="A1357" s="25"/>
      <c r="B1357" s="21"/>
      <c r="C1357" s="21"/>
      <c r="D1357" s="26" t="str">
        <f aca="false">IF(C1357="","",IFERROR(INDEX('Cadastro Mestre'!$C$5:$C$504,MATCH(C1357,'Cadastro Mestre'!$A$5:$A$504,0)),"código não encontrado"))</f>
        <v/>
      </c>
      <c r="E1357" s="24" t="str">
        <f aca="false">IF(C1357="","",IFERROR(INDEX('Cadastro Mestre'!$Q$5:$Q$504,MATCH(C1357,'Cadastro Mestre'!$A$5:$A$504,0)),""))</f>
        <v/>
      </c>
      <c r="F1357" s="21"/>
      <c r="G1357" s="21"/>
      <c r="H1357" s="21"/>
      <c r="I1357" s="21"/>
    </row>
    <row r="1358" customFormat="false" ht="15" hidden="false" customHeight="false" outlineLevel="0" collapsed="false">
      <c r="A1358" s="25"/>
      <c r="B1358" s="21"/>
      <c r="C1358" s="21"/>
      <c r="D1358" s="26" t="str">
        <f aca="false">IF(C1358="","",IFERROR(INDEX('Cadastro Mestre'!$C$5:$C$504,MATCH(C1358,'Cadastro Mestre'!$A$5:$A$504,0)),"código não encontrado"))</f>
        <v/>
      </c>
      <c r="E1358" s="24" t="str">
        <f aca="false">IF(C1358="","",IFERROR(INDEX('Cadastro Mestre'!$Q$5:$Q$504,MATCH(C1358,'Cadastro Mestre'!$A$5:$A$504,0)),""))</f>
        <v/>
      </c>
      <c r="F1358" s="21"/>
      <c r="G1358" s="21"/>
      <c r="H1358" s="21"/>
      <c r="I1358" s="21"/>
    </row>
    <row r="1359" customFormat="false" ht="15" hidden="false" customHeight="false" outlineLevel="0" collapsed="false">
      <c r="A1359" s="25"/>
      <c r="B1359" s="21"/>
      <c r="C1359" s="21"/>
      <c r="D1359" s="26" t="str">
        <f aca="false">IF(C1359="","",IFERROR(INDEX('Cadastro Mestre'!$C$5:$C$504,MATCH(C1359,'Cadastro Mestre'!$A$5:$A$504,0)),"código não encontrado"))</f>
        <v/>
      </c>
      <c r="E1359" s="24" t="str">
        <f aca="false">IF(C1359="","",IFERROR(INDEX('Cadastro Mestre'!$Q$5:$Q$504,MATCH(C1359,'Cadastro Mestre'!$A$5:$A$504,0)),""))</f>
        <v/>
      </c>
      <c r="F1359" s="21"/>
      <c r="G1359" s="21"/>
      <c r="H1359" s="21"/>
      <c r="I1359" s="21"/>
    </row>
    <row r="1360" customFormat="false" ht="15" hidden="false" customHeight="false" outlineLevel="0" collapsed="false">
      <c r="A1360" s="25"/>
      <c r="B1360" s="21"/>
      <c r="C1360" s="21"/>
      <c r="D1360" s="26" t="str">
        <f aca="false">IF(C1360="","",IFERROR(INDEX('Cadastro Mestre'!$C$5:$C$504,MATCH(C1360,'Cadastro Mestre'!$A$5:$A$504,0)),"código não encontrado"))</f>
        <v/>
      </c>
      <c r="E1360" s="24" t="str">
        <f aca="false">IF(C1360="","",IFERROR(INDEX('Cadastro Mestre'!$Q$5:$Q$504,MATCH(C1360,'Cadastro Mestre'!$A$5:$A$504,0)),""))</f>
        <v/>
      </c>
      <c r="F1360" s="21"/>
      <c r="G1360" s="21"/>
      <c r="H1360" s="21"/>
      <c r="I1360" s="21"/>
    </row>
    <row r="1361" customFormat="false" ht="15" hidden="false" customHeight="false" outlineLevel="0" collapsed="false">
      <c r="A1361" s="25"/>
      <c r="B1361" s="21"/>
      <c r="C1361" s="21"/>
      <c r="D1361" s="26" t="str">
        <f aca="false">IF(C1361="","",IFERROR(INDEX('Cadastro Mestre'!$C$5:$C$504,MATCH(C1361,'Cadastro Mestre'!$A$5:$A$504,0)),"código não encontrado"))</f>
        <v/>
      </c>
      <c r="E1361" s="24" t="str">
        <f aca="false">IF(C1361="","",IFERROR(INDEX('Cadastro Mestre'!$Q$5:$Q$504,MATCH(C1361,'Cadastro Mestre'!$A$5:$A$504,0)),""))</f>
        <v/>
      </c>
      <c r="F1361" s="21"/>
      <c r="G1361" s="21"/>
      <c r="H1361" s="21"/>
      <c r="I1361" s="21"/>
    </row>
    <row r="1362" customFormat="false" ht="15" hidden="false" customHeight="false" outlineLevel="0" collapsed="false">
      <c r="A1362" s="25"/>
      <c r="B1362" s="21"/>
      <c r="C1362" s="21"/>
      <c r="D1362" s="26" t="str">
        <f aca="false">IF(C1362="","",IFERROR(INDEX('Cadastro Mestre'!$C$5:$C$504,MATCH(C1362,'Cadastro Mestre'!$A$5:$A$504,0)),"código não encontrado"))</f>
        <v/>
      </c>
      <c r="E1362" s="24" t="str">
        <f aca="false">IF(C1362="","",IFERROR(INDEX('Cadastro Mestre'!$Q$5:$Q$504,MATCH(C1362,'Cadastro Mestre'!$A$5:$A$504,0)),""))</f>
        <v/>
      </c>
      <c r="F1362" s="21"/>
      <c r="G1362" s="21"/>
      <c r="H1362" s="21"/>
      <c r="I1362" s="21"/>
    </row>
    <row r="1363" customFormat="false" ht="15" hidden="false" customHeight="false" outlineLevel="0" collapsed="false">
      <c r="A1363" s="25"/>
      <c r="B1363" s="21"/>
      <c r="C1363" s="21"/>
      <c r="D1363" s="26" t="str">
        <f aca="false">IF(C1363="","",IFERROR(INDEX('Cadastro Mestre'!$C$5:$C$504,MATCH(C1363,'Cadastro Mestre'!$A$5:$A$504,0)),"código não encontrado"))</f>
        <v/>
      </c>
      <c r="E1363" s="24" t="str">
        <f aca="false">IF(C1363="","",IFERROR(INDEX('Cadastro Mestre'!$Q$5:$Q$504,MATCH(C1363,'Cadastro Mestre'!$A$5:$A$504,0)),""))</f>
        <v/>
      </c>
      <c r="F1363" s="21"/>
      <c r="G1363" s="21"/>
      <c r="H1363" s="21"/>
      <c r="I1363" s="21"/>
    </row>
    <row r="1364" customFormat="false" ht="15" hidden="false" customHeight="false" outlineLevel="0" collapsed="false">
      <c r="A1364" s="25"/>
      <c r="B1364" s="21"/>
      <c r="C1364" s="21"/>
      <c r="D1364" s="26" t="str">
        <f aca="false">IF(C1364="","",IFERROR(INDEX('Cadastro Mestre'!$C$5:$C$504,MATCH(C1364,'Cadastro Mestre'!$A$5:$A$504,0)),"código não encontrado"))</f>
        <v/>
      </c>
      <c r="E1364" s="24" t="str">
        <f aca="false">IF(C1364="","",IFERROR(INDEX('Cadastro Mestre'!$Q$5:$Q$504,MATCH(C1364,'Cadastro Mestre'!$A$5:$A$504,0)),""))</f>
        <v/>
      </c>
      <c r="F1364" s="21"/>
      <c r="G1364" s="21"/>
      <c r="H1364" s="21"/>
      <c r="I1364" s="21"/>
    </row>
    <row r="1365" customFormat="false" ht="15" hidden="false" customHeight="false" outlineLevel="0" collapsed="false">
      <c r="A1365" s="25"/>
      <c r="B1365" s="21"/>
      <c r="C1365" s="21"/>
      <c r="D1365" s="26" t="str">
        <f aca="false">IF(C1365="","",IFERROR(INDEX('Cadastro Mestre'!$C$5:$C$504,MATCH(C1365,'Cadastro Mestre'!$A$5:$A$504,0)),"código não encontrado"))</f>
        <v/>
      </c>
      <c r="E1365" s="24" t="str">
        <f aca="false">IF(C1365="","",IFERROR(INDEX('Cadastro Mestre'!$Q$5:$Q$504,MATCH(C1365,'Cadastro Mestre'!$A$5:$A$504,0)),""))</f>
        <v/>
      </c>
      <c r="F1365" s="21"/>
      <c r="G1365" s="21"/>
      <c r="H1365" s="21"/>
      <c r="I1365" s="21"/>
    </row>
    <row r="1366" customFormat="false" ht="15" hidden="false" customHeight="false" outlineLevel="0" collapsed="false">
      <c r="A1366" s="25"/>
      <c r="B1366" s="21"/>
      <c r="C1366" s="21"/>
      <c r="D1366" s="26" t="str">
        <f aca="false">IF(C1366="","",IFERROR(INDEX('Cadastro Mestre'!$C$5:$C$504,MATCH(C1366,'Cadastro Mestre'!$A$5:$A$504,0)),"código não encontrado"))</f>
        <v/>
      </c>
      <c r="E1366" s="24" t="str">
        <f aca="false">IF(C1366="","",IFERROR(INDEX('Cadastro Mestre'!$Q$5:$Q$504,MATCH(C1366,'Cadastro Mestre'!$A$5:$A$504,0)),""))</f>
        <v/>
      </c>
      <c r="F1366" s="21"/>
      <c r="G1366" s="21"/>
      <c r="H1366" s="21"/>
      <c r="I1366" s="21"/>
    </row>
    <row r="1367" customFormat="false" ht="15" hidden="false" customHeight="false" outlineLevel="0" collapsed="false">
      <c r="A1367" s="25"/>
      <c r="B1367" s="21"/>
      <c r="C1367" s="21"/>
      <c r="D1367" s="26" t="str">
        <f aca="false">IF(C1367="","",IFERROR(INDEX('Cadastro Mestre'!$C$5:$C$504,MATCH(C1367,'Cadastro Mestre'!$A$5:$A$504,0)),"código não encontrado"))</f>
        <v/>
      </c>
      <c r="E1367" s="24" t="str">
        <f aca="false">IF(C1367="","",IFERROR(INDEX('Cadastro Mestre'!$Q$5:$Q$504,MATCH(C1367,'Cadastro Mestre'!$A$5:$A$504,0)),""))</f>
        <v/>
      </c>
      <c r="F1367" s="21"/>
      <c r="G1367" s="21"/>
      <c r="H1367" s="21"/>
      <c r="I1367" s="21"/>
    </row>
    <row r="1368" customFormat="false" ht="15" hidden="false" customHeight="false" outlineLevel="0" collapsed="false">
      <c r="A1368" s="25"/>
      <c r="B1368" s="21"/>
      <c r="C1368" s="21"/>
      <c r="D1368" s="26" t="str">
        <f aca="false">IF(C1368="","",IFERROR(INDEX('Cadastro Mestre'!$C$5:$C$504,MATCH(C1368,'Cadastro Mestre'!$A$5:$A$504,0)),"código não encontrado"))</f>
        <v/>
      </c>
      <c r="E1368" s="24" t="str">
        <f aca="false">IF(C1368="","",IFERROR(INDEX('Cadastro Mestre'!$Q$5:$Q$504,MATCH(C1368,'Cadastro Mestre'!$A$5:$A$504,0)),""))</f>
        <v/>
      </c>
      <c r="F1368" s="21"/>
      <c r="G1368" s="21"/>
      <c r="H1368" s="21"/>
      <c r="I1368" s="21"/>
    </row>
    <row r="1369" customFormat="false" ht="15" hidden="false" customHeight="false" outlineLevel="0" collapsed="false">
      <c r="A1369" s="25"/>
      <c r="B1369" s="21"/>
      <c r="C1369" s="21"/>
      <c r="D1369" s="26" t="str">
        <f aca="false">IF(C1369="","",IFERROR(INDEX('Cadastro Mestre'!$C$5:$C$504,MATCH(C1369,'Cadastro Mestre'!$A$5:$A$504,0)),"código não encontrado"))</f>
        <v/>
      </c>
      <c r="E1369" s="24" t="str">
        <f aca="false">IF(C1369="","",IFERROR(INDEX('Cadastro Mestre'!$Q$5:$Q$504,MATCH(C1369,'Cadastro Mestre'!$A$5:$A$504,0)),""))</f>
        <v/>
      </c>
      <c r="F1369" s="21"/>
      <c r="G1369" s="21"/>
      <c r="H1369" s="21"/>
      <c r="I1369" s="21"/>
    </row>
    <row r="1370" customFormat="false" ht="15" hidden="false" customHeight="false" outlineLevel="0" collapsed="false">
      <c r="A1370" s="25"/>
      <c r="B1370" s="21"/>
      <c r="C1370" s="21"/>
      <c r="D1370" s="26" t="str">
        <f aca="false">IF(C1370="","",IFERROR(INDEX('Cadastro Mestre'!$C$5:$C$504,MATCH(C1370,'Cadastro Mestre'!$A$5:$A$504,0)),"código não encontrado"))</f>
        <v/>
      </c>
      <c r="E1370" s="24" t="str">
        <f aca="false">IF(C1370="","",IFERROR(INDEX('Cadastro Mestre'!$Q$5:$Q$504,MATCH(C1370,'Cadastro Mestre'!$A$5:$A$504,0)),""))</f>
        <v/>
      </c>
      <c r="F1370" s="21"/>
      <c r="G1370" s="21"/>
      <c r="H1370" s="21"/>
      <c r="I1370" s="21"/>
    </row>
    <row r="1371" customFormat="false" ht="15" hidden="false" customHeight="false" outlineLevel="0" collapsed="false">
      <c r="A1371" s="25"/>
      <c r="B1371" s="21"/>
      <c r="C1371" s="21"/>
      <c r="D1371" s="26" t="str">
        <f aca="false">IF(C1371="","",IFERROR(INDEX('Cadastro Mestre'!$C$5:$C$504,MATCH(C1371,'Cadastro Mestre'!$A$5:$A$504,0)),"código não encontrado"))</f>
        <v/>
      </c>
      <c r="E1371" s="24" t="str">
        <f aca="false">IF(C1371="","",IFERROR(INDEX('Cadastro Mestre'!$Q$5:$Q$504,MATCH(C1371,'Cadastro Mestre'!$A$5:$A$504,0)),""))</f>
        <v/>
      </c>
      <c r="F1371" s="21"/>
      <c r="G1371" s="21"/>
      <c r="H1371" s="21"/>
      <c r="I1371" s="21"/>
    </row>
    <row r="1372" customFormat="false" ht="15" hidden="false" customHeight="false" outlineLevel="0" collapsed="false">
      <c r="A1372" s="25"/>
      <c r="B1372" s="21"/>
      <c r="C1372" s="21"/>
      <c r="D1372" s="26" t="str">
        <f aca="false">IF(C1372="","",IFERROR(INDEX('Cadastro Mestre'!$C$5:$C$504,MATCH(C1372,'Cadastro Mestre'!$A$5:$A$504,0)),"código não encontrado"))</f>
        <v/>
      </c>
      <c r="E1372" s="24" t="str">
        <f aca="false">IF(C1372="","",IFERROR(INDEX('Cadastro Mestre'!$Q$5:$Q$504,MATCH(C1372,'Cadastro Mestre'!$A$5:$A$504,0)),""))</f>
        <v/>
      </c>
      <c r="F1372" s="21"/>
      <c r="G1372" s="21"/>
      <c r="H1372" s="21"/>
      <c r="I1372" s="21"/>
    </row>
    <row r="1373" customFormat="false" ht="15" hidden="false" customHeight="false" outlineLevel="0" collapsed="false">
      <c r="A1373" s="25"/>
      <c r="B1373" s="21"/>
      <c r="C1373" s="21"/>
      <c r="D1373" s="26" t="str">
        <f aca="false">IF(C1373="","",IFERROR(INDEX('Cadastro Mestre'!$C$5:$C$504,MATCH(C1373,'Cadastro Mestre'!$A$5:$A$504,0)),"código não encontrado"))</f>
        <v/>
      </c>
      <c r="E1373" s="24" t="str">
        <f aca="false">IF(C1373="","",IFERROR(INDEX('Cadastro Mestre'!$Q$5:$Q$504,MATCH(C1373,'Cadastro Mestre'!$A$5:$A$504,0)),""))</f>
        <v/>
      </c>
      <c r="F1373" s="21"/>
      <c r="G1373" s="21"/>
      <c r="H1373" s="21"/>
      <c r="I1373" s="21"/>
    </row>
    <row r="1374" customFormat="false" ht="15" hidden="false" customHeight="false" outlineLevel="0" collapsed="false">
      <c r="A1374" s="25"/>
      <c r="B1374" s="21"/>
      <c r="C1374" s="21"/>
      <c r="D1374" s="26" t="str">
        <f aca="false">IF(C1374="","",IFERROR(INDEX('Cadastro Mestre'!$C$5:$C$504,MATCH(C1374,'Cadastro Mestre'!$A$5:$A$504,0)),"código não encontrado"))</f>
        <v/>
      </c>
      <c r="E1374" s="24" t="str">
        <f aca="false">IF(C1374="","",IFERROR(INDEX('Cadastro Mestre'!$Q$5:$Q$504,MATCH(C1374,'Cadastro Mestre'!$A$5:$A$504,0)),""))</f>
        <v/>
      </c>
      <c r="F1374" s="21"/>
      <c r="G1374" s="21"/>
      <c r="H1374" s="21"/>
      <c r="I1374" s="21"/>
    </row>
    <row r="1375" customFormat="false" ht="15" hidden="false" customHeight="false" outlineLevel="0" collapsed="false">
      <c r="A1375" s="25"/>
      <c r="B1375" s="21"/>
      <c r="C1375" s="21"/>
      <c r="D1375" s="26" t="str">
        <f aca="false">IF(C1375="","",IFERROR(INDEX('Cadastro Mestre'!$C$5:$C$504,MATCH(C1375,'Cadastro Mestre'!$A$5:$A$504,0)),"código não encontrado"))</f>
        <v/>
      </c>
      <c r="E1375" s="24" t="str">
        <f aca="false">IF(C1375="","",IFERROR(INDEX('Cadastro Mestre'!$Q$5:$Q$504,MATCH(C1375,'Cadastro Mestre'!$A$5:$A$504,0)),""))</f>
        <v/>
      </c>
      <c r="F1375" s="21"/>
      <c r="G1375" s="21"/>
      <c r="H1375" s="21"/>
      <c r="I1375" s="21"/>
    </row>
    <row r="1376" customFormat="false" ht="15" hidden="false" customHeight="false" outlineLevel="0" collapsed="false">
      <c r="A1376" s="25"/>
      <c r="B1376" s="21"/>
      <c r="C1376" s="21"/>
      <c r="D1376" s="26" t="str">
        <f aca="false">IF(C1376="","",IFERROR(INDEX('Cadastro Mestre'!$C$5:$C$504,MATCH(C1376,'Cadastro Mestre'!$A$5:$A$504,0)),"código não encontrado"))</f>
        <v/>
      </c>
      <c r="E1376" s="24" t="str">
        <f aca="false">IF(C1376="","",IFERROR(INDEX('Cadastro Mestre'!$Q$5:$Q$504,MATCH(C1376,'Cadastro Mestre'!$A$5:$A$504,0)),""))</f>
        <v/>
      </c>
      <c r="F1376" s="21"/>
      <c r="G1376" s="21"/>
      <c r="H1376" s="21"/>
      <c r="I1376" s="21"/>
    </row>
    <row r="1377" customFormat="false" ht="15" hidden="false" customHeight="false" outlineLevel="0" collapsed="false">
      <c r="A1377" s="25"/>
      <c r="B1377" s="21"/>
      <c r="C1377" s="21"/>
      <c r="D1377" s="26" t="str">
        <f aca="false">IF(C1377="","",IFERROR(INDEX('Cadastro Mestre'!$C$5:$C$504,MATCH(C1377,'Cadastro Mestre'!$A$5:$A$504,0)),"código não encontrado"))</f>
        <v/>
      </c>
      <c r="E1377" s="24" t="str">
        <f aca="false">IF(C1377="","",IFERROR(INDEX('Cadastro Mestre'!$Q$5:$Q$504,MATCH(C1377,'Cadastro Mestre'!$A$5:$A$504,0)),""))</f>
        <v/>
      </c>
      <c r="F1377" s="21"/>
      <c r="G1377" s="21"/>
      <c r="H1377" s="21"/>
      <c r="I1377" s="21"/>
    </row>
    <row r="1378" customFormat="false" ht="15" hidden="false" customHeight="false" outlineLevel="0" collapsed="false">
      <c r="A1378" s="25"/>
      <c r="B1378" s="21"/>
      <c r="C1378" s="21"/>
      <c r="D1378" s="26" t="str">
        <f aca="false">IF(C1378="","",IFERROR(INDEX('Cadastro Mestre'!$C$5:$C$504,MATCH(C1378,'Cadastro Mestre'!$A$5:$A$504,0)),"código não encontrado"))</f>
        <v/>
      </c>
      <c r="E1378" s="24" t="str">
        <f aca="false">IF(C1378="","",IFERROR(INDEX('Cadastro Mestre'!$Q$5:$Q$504,MATCH(C1378,'Cadastro Mestre'!$A$5:$A$504,0)),""))</f>
        <v/>
      </c>
      <c r="F1378" s="21"/>
      <c r="G1378" s="21"/>
      <c r="H1378" s="21"/>
      <c r="I1378" s="21"/>
    </row>
    <row r="1379" customFormat="false" ht="15" hidden="false" customHeight="false" outlineLevel="0" collapsed="false">
      <c r="A1379" s="25"/>
      <c r="B1379" s="21"/>
      <c r="C1379" s="21"/>
      <c r="D1379" s="26" t="str">
        <f aca="false">IF(C1379="","",IFERROR(INDEX('Cadastro Mestre'!$C$5:$C$504,MATCH(C1379,'Cadastro Mestre'!$A$5:$A$504,0)),"código não encontrado"))</f>
        <v/>
      </c>
      <c r="E1379" s="24" t="str">
        <f aca="false">IF(C1379="","",IFERROR(INDEX('Cadastro Mestre'!$Q$5:$Q$504,MATCH(C1379,'Cadastro Mestre'!$A$5:$A$504,0)),""))</f>
        <v/>
      </c>
      <c r="F1379" s="21"/>
      <c r="G1379" s="21"/>
      <c r="H1379" s="21"/>
      <c r="I1379" s="21"/>
    </row>
    <row r="1380" customFormat="false" ht="15" hidden="false" customHeight="false" outlineLevel="0" collapsed="false">
      <c r="A1380" s="25"/>
      <c r="B1380" s="21"/>
      <c r="C1380" s="21"/>
      <c r="D1380" s="26" t="str">
        <f aca="false">IF(C1380="","",IFERROR(INDEX('Cadastro Mestre'!$C$5:$C$504,MATCH(C1380,'Cadastro Mestre'!$A$5:$A$504,0)),"código não encontrado"))</f>
        <v/>
      </c>
      <c r="E1380" s="24" t="str">
        <f aca="false">IF(C1380="","",IFERROR(INDEX('Cadastro Mestre'!$Q$5:$Q$504,MATCH(C1380,'Cadastro Mestre'!$A$5:$A$504,0)),""))</f>
        <v/>
      </c>
      <c r="F1380" s="21"/>
      <c r="G1380" s="21"/>
      <c r="H1380" s="21"/>
      <c r="I1380" s="21"/>
    </row>
    <row r="1381" customFormat="false" ht="15" hidden="false" customHeight="false" outlineLevel="0" collapsed="false">
      <c r="A1381" s="25"/>
      <c r="B1381" s="21"/>
      <c r="C1381" s="21"/>
      <c r="D1381" s="26" t="str">
        <f aca="false">IF(C1381="","",IFERROR(INDEX('Cadastro Mestre'!$C$5:$C$504,MATCH(C1381,'Cadastro Mestre'!$A$5:$A$504,0)),"código não encontrado"))</f>
        <v/>
      </c>
      <c r="E1381" s="24" t="str">
        <f aca="false">IF(C1381="","",IFERROR(INDEX('Cadastro Mestre'!$Q$5:$Q$504,MATCH(C1381,'Cadastro Mestre'!$A$5:$A$504,0)),""))</f>
        <v/>
      </c>
      <c r="F1381" s="21"/>
      <c r="G1381" s="21"/>
      <c r="H1381" s="21"/>
      <c r="I1381" s="21"/>
    </row>
    <row r="1382" customFormat="false" ht="15" hidden="false" customHeight="false" outlineLevel="0" collapsed="false">
      <c r="A1382" s="25"/>
      <c r="B1382" s="21"/>
      <c r="C1382" s="21"/>
      <c r="D1382" s="26" t="str">
        <f aca="false">IF(C1382="","",IFERROR(INDEX('Cadastro Mestre'!$C$5:$C$504,MATCH(C1382,'Cadastro Mestre'!$A$5:$A$504,0)),"código não encontrado"))</f>
        <v/>
      </c>
      <c r="E1382" s="24" t="str">
        <f aca="false">IF(C1382="","",IFERROR(INDEX('Cadastro Mestre'!$Q$5:$Q$504,MATCH(C1382,'Cadastro Mestre'!$A$5:$A$504,0)),""))</f>
        <v/>
      </c>
      <c r="F1382" s="21"/>
      <c r="G1382" s="21"/>
      <c r="H1382" s="21"/>
      <c r="I1382" s="21"/>
    </row>
    <row r="1383" customFormat="false" ht="15" hidden="false" customHeight="false" outlineLevel="0" collapsed="false">
      <c r="A1383" s="25"/>
      <c r="B1383" s="21"/>
      <c r="C1383" s="21"/>
      <c r="D1383" s="26" t="str">
        <f aca="false">IF(C1383="","",IFERROR(INDEX('Cadastro Mestre'!$C$5:$C$504,MATCH(C1383,'Cadastro Mestre'!$A$5:$A$504,0)),"código não encontrado"))</f>
        <v/>
      </c>
      <c r="E1383" s="24" t="str">
        <f aca="false">IF(C1383="","",IFERROR(INDEX('Cadastro Mestre'!$Q$5:$Q$504,MATCH(C1383,'Cadastro Mestre'!$A$5:$A$504,0)),""))</f>
        <v/>
      </c>
      <c r="F1383" s="21"/>
      <c r="G1383" s="21"/>
      <c r="H1383" s="21"/>
      <c r="I1383" s="21"/>
    </row>
    <row r="1384" customFormat="false" ht="15" hidden="false" customHeight="false" outlineLevel="0" collapsed="false">
      <c r="A1384" s="25"/>
      <c r="B1384" s="21"/>
      <c r="C1384" s="21"/>
      <c r="D1384" s="26" t="str">
        <f aca="false">IF(C1384="","",IFERROR(INDEX('Cadastro Mestre'!$C$5:$C$504,MATCH(C1384,'Cadastro Mestre'!$A$5:$A$504,0)),"código não encontrado"))</f>
        <v/>
      </c>
      <c r="E1384" s="24" t="str">
        <f aca="false">IF(C1384="","",IFERROR(INDEX('Cadastro Mestre'!$Q$5:$Q$504,MATCH(C1384,'Cadastro Mestre'!$A$5:$A$504,0)),""))</f>
        <v/>
      </c>
      <c r="F1384" s="21"/>
      <c r="G1384" s="21"/>
      <c r="H1384" s="21"/>
      <c r="I1384" s="21"/>
    </row>
    <row r="1385" customFormat="false" ht="15" hidden="false" customHeight="false" outlineLevel="0" collapsed="false">
      <c r="A1385" s="25"/>
      <c r="B1385" s="21"/>
      <c r="C1385" s="21"/>
      <c r="D1385" s="26" t="str">
        <f aca="false">IF(C1385="","",IFERROR(INDEX('Cadastro Mestre'!$C$5:$C$504,MATCH(C1385,'Cadastro Mestre'!$A$5:$A$504,0)),"código não encontrado"))</f>
        <v/>
      </c>
      <c r="E1385" s="24" t="str">
        <f aca="false">IF(C1385="","",IFERROR(INDEX('Cadastro Mestre'!$Q$5:$Q$504,MATCH(C1385,'Cadastro Mestre'!$A$5:$A$504,0)),""))</f>
        <v/>
      </c>
      <c r="F1385" s="21"/>
      <c r="G1385" s="21"/>
      <c r="H1385" s="21"/>
      <c r="I1385" s="21"/>
    </row>
    <row r="1386" customFormat="false" ht="15" hidden="false" customHeight="false" outlineLevel="0" collapsed="false">
      <c r="A1386" s="25"/>
      <c r="B1386" s="21"/>
      <c r="C1386" s="21"/>
      <c r="D1386" s="26" t="str">
        <f aca="false">IF(C1386="","",IFERROR(INDEX('Cadastro Mestre'!$C$5:$C$504,MATCH(C1386,'Cadastro Mestre'!$A$5:$A$504,0)),"código não encontrado"))</f>
        <v/>
      </c>
      <c r="E1386" s="24" t="str">
        <f aca="false">IF(C1386="","",IFERROR(INDEX('Cadastro Mestre'!$Q$5:$Q$504,MATCH(C1386,'Cadastro Mestre'!$A$5:$A$504,0)),""))</f>
        <v/>
      </c>
      <c r="F1386" s="21"/>
      <c r="G1386" s="21"/>
      <c r="H1386" s="21"/>
      <c r="I1386" s="21"/>
    </row>
    <row r="1387" customFormat="false" ht="15" hidden="false" customHeight="false" outlineLevel="0" collapsed="false">
      <c r="A1387" s="25"/>
      <c r="B1387" s="21"/>
      <c r="C1387" s="21"/>
      <c r="D1387" s="26" t="str">
        <f aca="false">IF(C1387="","",IFERROR(INDEX('Cadastro Mestre'!$C$5:$C$504,MATCH(C1387,'Cadastro Mestre'!$A$5:$A$504,0)),"código não encontrado"))</f>
        <v/>
      </c>
      <c r="E1387" s="24" t="str">
        <f aca="false">IF(C1387="","",IFERROR(INDEX('Cadastro Mestre'!$Q$5:$Q$504,MATCH(C1387,'Cadastro Mestre'!$A$5:$A$504,0)),""))</f>
        <v/>
      </c>
      <c r="F1387" s="21"/>
      <c r="G1387" s="21"/>
      <c r="H1387" s="21"/>
      <c r="I1387" s="21"/>
    </row>
    <row r="1388" customFormat="false" ht="15" hidden="false" customHeight="false" outlineLevel="0" collapsed="false">
      <c r="A1388" s="25"/>
      <c r="B1388" s="21"/>
      <c r="C1388" s="21"/>
      <c r="D1388" s="26" t="str">
        <f aca="false">IF(C1388="","",IFERROR(INDEX('Cadastro Mestre'!$C$5:$C$504,MATCH(C1388,'Cadastro Mestre'!$A$5:$A$504,0)),"código não encontrado"))</f>
        <v/>
      </c>
      <c r="E1388" s="24" t="str">
        <f aca="false">IF(C1388="","",IFERROR(INDEX('Cadastro Mestre'!$Q$5:$Q$504,MATCH(C1388,'Cadastro Mestre'!$A$5:$A$504,0)),""))</f>
        <v/>
      </c>
      <c r="F1388" s="21"/>
      <c r="G1388" s="21"/>
      <c r="H1388" s="21"/>
      <c r="I1388" s="21"/>
    </row>
    <row r="1389" customFormat="false" ht="15" hidden="false" customHeight="false" outlineLevel="0" collapsed="false">
      <c r="A1389" s="25"/>
      <c r="B1389" s="21"/>
      <c r="C1389" s="21"/>
      <c r="D1389" s="26" t="str">
        <f aca="false">IF(C1389="","",IFERROR(INDEX('Cadastro Mestre'!$C$5:$C$504,MATCH(C1389,'Cadastro Mestre'!$A$5:$A$504,0)),"código não encontrado"))</f>
        <v/>
      </c>
      <c r="E1389" s="24" t="str">
        <f aca="false">IF(C1389="","",IFERROR(INDEX('Cadastro Mestre'!$Q$5:$Q$504,MATCH(C1389,'Cadastro Mestre'!$A$5:$A$504,0)),""))</f>
        <v/>
      </c>
      <c r="F1389" s="21"/>
      <c r="G1389" s="21"/>
      <c r="H1389" s="21"/>
      <c r="I1389" s="21"/>
    </row>
    <row r="1390" customFormat="false" ht="15" hidden="false" customHeight="false" outlineLevel="0" collapsed="false">
      <c r="A1390" s="25"/>
      <c r="B1390" s="21"/>
      <c r="C1390" s="21"/>
      <c r="D1390" s="26" t="str">
        <f aca="false">IF(C1390="","",IFERROR(INDEX('Cadastro Mestre'!$C$5:$C$504,MATCH(C1390,'Cadastro Mestre'!$A$5:$A$504,0)),"código não encontrado"))</f>
        <v/>
      </c>
      <c r="E1390" s="24" t="str">
        <f aca="false">IF(C1390="","",IFERROR(INDEX('Cadastro Mestre'!$Q$5:$Q$504,MATCH(C1390,'Cadastro Mestre'!$A$5:$A$504,0)),""))</f>
        <v/>
      </c>
      <c r="F1390" s="21"/>
      <c r="G1390" s="21"/>
      <c r="H1390" s="21"/>
      <c r="I1390" s="21"/>
    </row>
    <row r="1391" customFormat="false" ht="15" hidden="false" customHeight="false" outlineLevel="0" collapsed="false">
      <c r="A1391" s="25"/>
      <c r="B1391" s="21"/>
      <c r="C1391" s="21"/>
      <c r="D1391" s="26" t="str">
        <f aca="false">IF(C1391="","",IFERROR(INDEX('Cadastro Mestre'!$C$5:$C$504,MATCH(C1391,'Cadastro Mestre'!$A$5:$A$504,0)),"código não encontrado"))</f>
        <v/>
      </c>
      <c r="E1391" s="24" t="str">
        <f aca="false">IF(C1391="","",IFERROR(INDEX('Cadastro Mestre'!$Q$5:$Q$504,MATCH(C1391,'Cadastro Mestre'!$A$5:$A$504,0)),""))</f>
        <v/>
      </c>
      <c r="F1391" s="21"/>
      <c r="G1391" s="21"/>
      <c r="H1391" s="21"/>
      <c r="I1391" s="21"/>
    </row>
    <row r="1392" customFormat="false" ht="15" hidden="false" customHeight="false" outlineLevel="0" collapsed="false">
      <c r="A1392" s="25"/>
      <c r="B1392" s="21"/>
      <c r="C1392" s="21"/>
      <c r="D1392" s="26" t="str">
        <f aca="false">IF(C1392="","",IFERROR(INDEX('Cadastro Mestre'!$C$5:$C$504,MATCH(C1392,'Cadastro Mestre'!$A$5:$A$504,0)),"código não encontrado"))</f>
        <v/>
      </c>
      <c r="E1392" s="24" t="str">
        <f aca="false">IF(C1392="","",IFERROR(INDEX('Cadastro Mestre'!$Q$5:$Q$504,MATCH(C1392,'Cadastro Mestre'!$A$5:$A$504,0)),""))</f>
        <v/>
      </c>
      <c r="F1392" s="21"/>
      <c r="G1392" s="21"/>
      <c r="H1392" s="21"/>
      <c r="I1392" s="21"/>
    </row>
    <row r="1393" customFormat="false" ht="15" hidden="false" customHeight="false" outlineLevel="0" collapsed="false">
      <c r="A1393" s="25"/>
      <c r="B1393" s="21"/>
      <c r="C1393" s="21"/>
      <c r="D1393" s="26" t="str">
        <f aca="false">IF(C1393="","",IFERROR(INDEX('Cadastro Mestre'!$C$5:$C$504,MATCH(C1393,'Cadastro Mestre'!$A$5:$A$504,0)),"código não encontrado"))</f>
        <v/>
      </c>
      <c r="E1393" s="24" t="str">
        <f aca="false">IF(C1393="","",IFERROR(INDEX('Cadastro Mestre'!$Q$5:$Q$504,MATCH(C1393,'Cadastro Mestre'!$A$5:$A$504,0)),""))</f>
        <v/>
      </c>
      <c r="F1393" s="21"/>
      <c r="G1393" s="21"/>
      <c r="H1393" s="21"/>
      <c r="I1393" s="21"/>
    </row>
    <row r="1394" customFormat="false" ht="15" hidden="false" customHeight="false" outlineLevel="0" collapsed="false">
      <c r="A1394" s="25"/>
      <c r="B1394" s="21"/>
      <c r="C1394" s="21"/>
      <c r="D1394" s="26" t="str">
        <f aca="false">IF(C1394="","",IFERROR(INDEX('Cadastro Mestre'!$C$5:$C$504,MATCH(C1394,'Cadastro Mestre'!$A$5:$A$504,0)),"código não encontrado"))</f>
        <v/>
      </c>
      <c r="E1394" s="24" t="str">
        <f aca="false">IF(C1394="","",IFERROR(INDEX('Cadastro Mestre'!$Q$5:$Q$504,MATCH(C1394,'Cadastro Mestre'!$A$5:$A$504,0)),""))</f>
        <v/>
      </c>
      <c r="F1394" s="21"/>
      <c r="G1394" s="21"/>
      <c r="H1394" s="21"/>
      <c r="I1394" s="21"/>
    </row>
    <row r="1395" customFormat="false" ht="15" hidden="false" customHeight="false" outlineLevel="0" collapsed="false">
      <c r="A1395" s="25"/>
      <c r="B1395" s="21"/>
      <c r="C1395" s="21"/>
      <c r="D1395" s="26" t="str">
        <f aca="false">IF(C1395="","",IFERROR(INDEX('Cadastro Mestre'!$C$5:$C$504,MATCH(C1395,'Cadastro Mestre'!$A$5:$A$504,0)),"código não encontrado"))</f>
        <v/>
      </c>
      <c r="E1395" s="24" t="str">
        <f aca="false">IF(C1395="","",IFERROR(INDEX('Cadastro Mestre'!$Q$5:$Q$504,MATCH(C1395,'Cadastro Mestre'!$A$5:$A$504,0)),""))</f>
        <v/>
      </c>
      <c r="F1395" s="21"/>
      <c r="G1395" s="21"/>
      <c r="H1395" s="21"/>
      <c r="I1395" s="21"/>
    </row>
    <row r="1396" customFormat="false" ht="15" hidden="false" customHeight="false" outlineLevel="0" collapsed="false">
      <c r="A1396" s="25"/>
      <c r="B1396" s="21"/>
      <c r="C1396" s="21"/>
      <c r="D1396" s="26" t="str">
        <f aca="false">IF(C1396="","",IFERROR(INDEX('Cadastro Mestre'!$C$5:$C$504,MATCH(C1396,'Cadastro Mestre'!$A$5:$A$504,0)),"código não encontrado"))</f>
        <v/>
      </c>
      <c r="E1396" s="24" t="str">
        <f aca="false">IF(C1396="","",IFERROR(INDEX('Cadastro Mestre'!$Q$5:$Q$504,MATCH(C1396,'Cadastro Mestre'!$A$5:$A$504,0)),""))</f>
        <v/>
      </c>
      <c r="F1396" s="21"/>
      <c r="G1396" s="21"/>
      <c r="H1396" s="21"/>
      <c r="I1396" s="21"/>
    </row>
    <row r="1397" customFormat="false" ht="15" hidden="false" customHeight="false" outlineLevel="0" collapsed="false">
      <c r="A1397" s="25"/>
      <c r="B1397" s="21"/>
      <c r="C1397" s="21"/>
      <c r="D1397" s="26" t="str">
        <f aca="false">IF(C1397="","",IFERROR(INDEX('Cadastro Mestre'!$C$5:$C$504,MATCH(C1397,'Cadastro Mestre'!$A$5:$A$504,0)),"código não encontrado"))</f>
        <v/>
      </c>
      <c r="E1397" s="24" t="str">
        <f aca="false">IF(C1397="","",IFERROR(INDEX('Cadastro Mestre'!$Q$5:$Q$504,MATCH(C1397,'Cadastro Mestre'!$A$5:$A$504,0)),""))</f>
        <v/>
      </c>
      <c r="F1397" s="21"/>
      <c r="G1397" s="21"/>
      <c r="H1397" s="21"/>
      <c r="I1397" s="21"/>
    </row>
    <row r="1398" customFormat="false" ht="15" hidden="false" customHeight="false" outlineLevel="0" collapsed="false">
      <c r="A1398" s="25"/>
      <c r="B1398" s="21"/>
      <c r="C1398" s="21"/>
      <c r="D1398" s="26" t="str">
        <f aca="false">IF(C1398="","",IFERROR(INDEX('Cadastro Mestre'!$C$5:$C$504,MATCH(C1398,'Cadastro Mestre'!$A$5:$A$504,0)),"código não encontrado"))</f>
        <v/>
      </c>
      <c r="E1398" s="24" t="str">
        <f aca="false">IF(C1398="","",IFERROR(INDEX('Cadastro Mestre'!$Q$5:$Q$504,MATCH(C1398,'Cadastro Mestre'!$A$5:$A$504,0)),""))</f>
        <v/>
      </c>
      <c r="F1398" s="21"/>
      <c r="G1398" s="21"/>
      <c r="H1398" s="21"/>
      <c r="I1398" s="21"/>
    </row>
    <row r="1399" customFormat="false" ht="15" hidden="false" customHeight="false" outlineLevel="0" collapsed="false">
      <c r="A1399" s="25"/>
      <c r="B1399" s="21"/>
      <c r="C1399" s="21"/>
      <c r="D1399" s="26" t="str">
        <f aca="false">IF(C1399="","",IFERROR(INDEX('Cadastro Mestre'!$C$5:$C$504,MATCH(C1399,'Cadastro Mestre'!$A$5:$A$504,0)),"código não encontrado"))</f>
        <v/>
      </c>
      <c r="E1399" s="24" t="str">
        <f aca="false">IF(C1399="","",IFERROR(INDEX('Cadastro Mestre'!$Q$5:$Q$504,MATCH(C1399,'Cadastro Mestre'!$A$5:$A$504,0)),""))</f>
        <v/>
      </c>
      <c r="F1399" s="21"/>
      <c r="G1399" s="21"/>
      <c r="H1399" s="21"/>
      <c r="I1399" s="21"/>
    </row>
    <row r="1400" customFormat="false" ht="15" hidden="false" customHeight="false" outlineLevel="0" collapsed="false">
      <c r="A1400" s="25"/>
      <c r="B1400" s="21"/>
      <c r="C1400" s="21"/>
      <c r="D1400" s="26" t="str">
        <f aca="false">IF(C1400="","",IFERROR(INDEX('Cadastro Mestre'!$C$5:$C$504,MATCH(C1400,'Cadastro Mestre'!$A$5:$A$504,0)),"código não encontrado"))</f>
        <v/>
      </c>
      <c r="E1400" s="24" t="str">
        <f aca="false">IF(C1400="","",IFERROR(INDEX('Cadastro Mestre'!$Q$5:$Q$504,MATCH(C1400,'Cadastro Mestre'!$A$5:$A$504,0)),""))</f>
        <v/>
      </c>
      <c r="F1400" s="21"/>
      <c r="G1400" s="21"/>
      <c r="H1400" s="21"/>
      <c r="I1400" s="21"/>
    </row>
    <row r="1401" customFormat="false" ht="15" hidden="false" customHeight="false" outlineLevel="0" collapsed="false">
      <c r="A1401" s="25"/>
      <c r="B1401" s="21"/>
      <c r="C1401" s="21"/>
      <c r="D1401" s="26" t="str">
        <f aca="false">IF(C1401="","",IFERROR(INDEX('Cadastro Mestre'!$C$5:$C$504,MATCH(C1401,'Cadastro Mestre'!$A$5:$A$504,0)),"código não encontrado"))</f>
        <v/>
      </c>
      <c r="E1401" s="24" t="str">
        <f aca="false">IF(C1401="","",IFERROR(INDEX('Cadastro Mestre'!$Q$5:$Q$504,MATCH(C1401,'Cadastro Mestre'!$A$5:$A$504,0)),""))</f>
        <v/>
      </c>
      <c r="F1401" s="21"/>
      <c r="G1401" s="21"/>
      <c r="H1401" s="21"/>
      <c r="I1401" s="21"/>
    </row>
    <row r="1402" customFormat="false" ht="15" hidden="false" customHeight="false" outlineLevel="0" collapsed="false">
      <c r="A1402" s="25"/>
      <c r="B1402" s="21"/>
      <c r="C1402" s="21"/>
      <c r="D1402" s="26" t="str">
        <f aca="false">IF(C1402="","",IFERROR(INDEX('Cadastro Mestre'!$C$5:$C$504,MATCH(C1402,'Cadastro Mestre'!$A$5:$A$504,0)),"código não encontrado"))</f>
        <v/>
      </c>
      <c r="E1402" s="24" t="str">
        <f aca="false">IF(C1402="","",IFERROR(INDEX('Cadastro Mestre'!$Q$5:$Q$504,MATCH(C1402,'Cadastro Mestre'!$A$5:$A$504,0)),""))</f>
        <v/>
      </c>
      <c r="F1402" s="21"/>
      <c r="G1402" s="21"/>
      <c r="H1402" s="21"/>
      <c r="I1402" s="21"/>
    </row>
    <row r="1403" customFormat="false" ht="15" hidden="false" customHeight="false" outlineLevel="0" collapsed="false">
      <c r="A1403" s="25"/>
      <c r="B1403" s="21"/>
      <c r="C1403" s="21"/>
      <c r="D1403" s="26" t="str">
        <f aca="false">IF(C1403="","",IFERROR(INDEX('Cadastro Mestre'!$C$5:$C$504,MATCH(C1403,'Cadastro Mestre'!$A$5:$A$504,0)),"código não encontrado"))</f>
        <v/>
      </c>
      <c r="E1403" s="24" t="str">
        <f aca="false">IF(C1403="","",IFERROR(INDEX('Cadastro Mestre'!$Q$5:$Q$504,MATCH(C1403,'Cadastro Mestre'!$A$5:$A$504,0)),""))</f>
        <v/>
      </c>
      <c r="F1403" s="21"/>
      <c r="G1403" s="21"/>
      <c r="H1403" s="21"/>
      <c r="I1403" s="21"/>
    </row>
    <row r="1404" customFormat="false" ht="15" hidden="false" customHeight="false" outlineLevel="0" collapsed="false">
      <c r="A1404" s="25"/>
      <c r="B1404" s="21"/>
      <c r="C1404" s="21"/>
      <c r="D1404" s="26" t="str">
        <f aca="false">IF(C1404="","",IFERROR(INDEX('Cadastro Mestre'!$C$5:$C$504,MATCH(C1404,'Cadastro Mestre'!$A$5:$A$504,0)),"código não encontrado"))</f>
        <v/>
      </c>
      <c r="E1404" s="24" t="str">
        <f aca="false">IF(C1404="","",IFERROR(INDEX('Cadastro Mestre'!$Q$5:$Q$504,MATCH(C1404,'Cadastro Mestre'!$A$5:$A$504,0)),""))</f>
        <v/>
      </c>
      <c r="F1404" s="21"/>
      <c r="G1404" s="21"/>
      <c r="H1404" s="21"/>
      <c r="I1404" s="21"/>
    </row>
    <row r="1405" customFormat="false" ht="15" hidden="false" customHeight="false" outlineLevel="0" collapsed="false">
      <c r="A1405" s="25"/>
      <c r="B1405" s="21"/>
      <c r="C1405" s="21"/>
      <c r="D1405" s="26" t="str">
        <f aca="false">IF(C1405="","",IFERROR(INDEX('Cadastro Mestre'!$C$5:$C$504,MATCH(C1405,'Cadastro Mestre'!$A$5:$A$504,0)),"código não encontrado"))</f>
        <v/>
      </c>
      <c r="E1405" s="24" t="str">
        <f aca="false">IF(C1405="","",IFERROR(INDEX('Cadastro Mestre'!$Q$5:$Q$504,MATCH(C1405,'Cadastro Mestre'!$A$5:$A$504,0)),""))</f>
        <v/>
      </c>
      <c r="F1405" s="21"/>
      <c r="G1405" s="21"/>
      <c r="H1405" s="21"/>
      <c r="I1405" s="21"/>
    </row>
    <row r="1406" customFormat="false" ht="15" hidden="false" customHeight="false" outlineLevel="0" collapsed="false">
      <c r="A1406" s="25"/>
      <c r="B1406" s="21"/>
      <c r="C1406" s="21"/>
      <c r="D1406" s="26" t="str">
        <f aca="false">IF(C1406="","",IFERROR(INDEX('Cadastro Mestre'!$C$5:$C$504,MATCH(C1406,'Cadastro Mestre'!$A$5:$A$504,0)),"código não encontrado"))</f>
        <v/>
      </c>
      <c r="E1406" s="24" t="str">
        <f aca="false">IF(C1406="","",IFERROR(INDEX('Cadastro Mestre'!$Q$5:$Q$504,MATCH(C1406,'Cadastro Mestre'!$A$5:$A$504,0)),""))</f>
        <v/>
      </c>
      <c r="F1406" s="21"/>
      <c r="G1406" s="21"/>
      <c r="H1406" s="21"/>
      <c r="I1406" s="21"/>
    </row>
    <row r="1407" customFormat="false" ht="15" hidden="false" customHeight="false" outlineLevel="0" collapsed="false">
      <c r="A1407" s="25"/>
      <c r="B1407" s="21"/>
      <c r="C1407" s="21"/>
      <c r="D1407" s="26" t="str">
        <f aca="false">IF(C1407="","",IFERROR(INDEX('Cadastro Mestre'!$C$5:$C$504,MATCH(C1407,'Cadastro Mestre'!$A$5:$A$504,0)),"código não encontrado"))</f>
        <v/>
      </c>
      <c r="E1407" s="24" t="str">
        <f aca="false">IF(C1407="","",IFERROR(INDEX('Cadastro Mestre'!$Q$5:$Q$504,MATCH(C1407,'Cadastro Mestre'!$A$5:$A$504,0)),""))</f>
        <v/>
      </c>
      <c r="F1407" s="21"/>
      <c r="G1407" s="21"/>
      <c r="H1407" s="21"/>
      <c r="I1407" s="21"/>
    </row>
    <row r="1408" customFormat="false" ht="15" hidden="false" customHeight="false" outlineLevel="0" collapsed="false">
      <c r="A1408" s="25"/>
      <c r="B1408" s="21"/>
      <c r="C1408" s="21"/>
      <c r="D1408" s="26" t="str">
        <f aca="false">IF(C1408="","",IFERROR(INDEX('Cadastro Mestre'!$C$5:$C$504,MATCH(C1408,'Cadastro Mestre'!$A$5:$A$504,0)),"código não encontrado"))</f>
        <v/>
      </c>
      <c r="E1408" s="24" t="str">
        <f aca="false">IF(C1408="","",IFERROR(INDEX('Cadastro Mestre'!$Q$5:$Q$504,MATCH(C1408,'Cadastro Mestre'!$A$5:$A$504,0)),""))</f>
        <v/>
      </c>
      <c r="F1408" s="21"/>
      <c r="G1408" s="21"/>
      <c r="H1408" s="21"/>
      <c r="I1408" s="21"/>
    </row>
    <row r="1409" customFormat="false" ht="15" hidden="false" customHeight="false" outlineLevel="0" collapsed="false">
      <c r="A1409" s="25"/>
      <c r="B1409" s="21"/>
      <c r="C1409" s="21"/>
      <c r="D1409" s="26" t="str">
        <f aca="false">IF(C1409="","",IFERROR(INDEX('Cadastro Mestre'!$C$5:$C$504,MATCH(C1409,'Cadastro Mestre'!$A$5:$A$504,0)),"código não encontrado"))</f>
        <v/>
      </c>
      <c r="E1409" s="24" t="str">
        <f aca="false">IF(C1409="","",IFERROR(INDEX('Cadastro Mestre'!$Q$5:$Q$504,MATCH(C1409,'Cadastro Mestre'!$A$5:$A$504,0)),""))</f>
        <v/>
      </c>
      <c r="F1409" s="21"/>
      <c r="G1409" s="21"/>
      <c r="H1409" s="21"/>
      <c r="I1409" s="21"/>
    </row>
    <row r="1410" customFormat="false" ht="15" hidden="false" customHeight="false" outlineLevel="0" collapsed="false">
      <c r="A1410" s="25"/>
      <c r="B1410" s="21"/>
      <c r="C1410" s="21"/>
      <c r="D1410" s="26" t="str">
        <f aca="false">IF(C1410="","",IFERROR(INDEX('Cadastro Mestre'!$C$5:$C$504,MATCH(C1410,'Cadastro Mestre'!$A$5:$A$504,0)),"código não encontrado"))</f>
        <v/>
      </c>
      <c r="E1410" s="24" t="str">
        <f aca="false">IF(C1410="","",IFERROR(INDEX('Cadastro Mestre'!$Q$5:$Q$504,MATCH(C1410,'Cadastro Mestre'!$A$5:$A$504,0)),""))</f>
        <v/>
      </c>
      <c r="F1410" s="21"/>
      <c r="G1410" s="21"/>
      <c r="H1410" s="21"/>
      <c r="I1410" s="21"/>
    </row>
    <row r="1411" customFormat="false" ht="15" hidden="false" customHeight="false" outlineLevel="0" collapsed="false">
      <c r="A1411" s="25"/>
      <c r="B1411" s="21"/>
      <c r="C1411" s="21"/>
      <c r="D1411" s="26" t="str">
        <f aca="false">IF(C1411="","",IFERROR(INDEX('Cadastro Mestre'!$C$5:$C$504,MATCH(C1411,'Cadastro Mestre'!$A$5:$A$504,0)),"código não encontrado"))</f>
        <v/>
      </c>
      <c r="E1411" s="24" t="str">
        <f aca="false">IF(C1411="","",IFERROR(INDEX('Cadastro Mestre'!$Q$5:$Q$504,MATCH(C1411,'Cadastro Mestre'!$A$5:$A$504,0)),""))</f>
        <v/>
      </c>
      <c r="F1411" s="21"/>
      <c r="G1411" s="21"/>
      <c r="H1411" s="21"/>
      <c r="I1411" s="21"/>
    </row>
    <row r="1412" customFormat="false" ht="15" hidden="false" customHeight="false" outlineLevel="0" collapsed="false">
      <c r="A1412" s="25"/>
      <c r="B1412" s="21"/>
      <c r="C1412" s="21"/>
      <c r="D1412" s="26" t="str">
        <f aca="false">IF(C1412="","",IFERROR(INDEX('Cadastro Mestre'!$C$5:$C$504,MATCH(C1412,'Cadastro Mestre'!$A$5:$A$504,0)),"código não encontrado"))</f>
        <v/>
      </c>
      <c r="E1412" s="24" t="str">
        <f aca="false">IF(C1412="","",IFERROR(INDEX('Cadastro Mestre'!$Q$5:$Q$504,MATCH(C1412,'Cadastro Mestre'!$A$5:$A$504,0)),""))</f>
        <v/>
      </c>
      <c r="F1412" s="21"/>
      <c r="G1412" s="21"/>
      <c r="H1412" s="21"/>
      <c r="I1412" s="21"/>
    </row>
    <row r="1413" customFormat="false" ht="15" hidden="false" customHeight="false" outlineLevel="0" collapsed="false">
      <c r="A1413" s="25"/>
      <c r="B1413" s="21"/>
      <c r="C1413" s="21"/>
      <c r="D1413" s="26" t="str">
        <f aca="false">IF(C1413="","",IFERROR(INDEX('Cadastro Mestre'!$C$5:$C$504,MATCH(C1413,'Cadastro Mestre'!$A$5:$A$504,0)),"código não encontrado"))</f>
        <v/>
      </c>
      <c r="E1413" s="24" t="str">
        <f aca="false">IF(C1413="","",IFERROR(INDEX('Cadastro Mestre'!$Q$5:$Q$504,MATCH(C1413,'Cadastro Mestre'!$A$5:$A$504,0)),""))</f>
        <v/>
      </c>
      <c r="F1413" s="21"/>
      <c r="G1413" s="21"/>
      <c r="H1413" s="21"/>
      <c r="I1413" s="21"/>
    </row>
    <row r="1414" customFormat="false" ht="15" hidden="false" customHeight="false" outlineLevel="0" collapsed="false">
      <c r="A1414" s="25"/>
      <c r="B1414" s="21"/>
      <c r="C1414" s="21"/>
      <c r="D1414" s="26" t="str">
        <f aca="false">IF(C1414="","",IFERROR(INDEX('Cadastro Mestre'!$C$5:$C$504,MATCH(C1414,'Cadastro Mestre'!$A$5:$A$504,0)),"código não encontrado"))</f>
        <v/>
      </c>
      <c r="E1414" s="24" t="str">
        <f aca="false">IF(C1414="","",IFERROR(INDEX('Cadastro Mestre'!$Q$5:$Q$504,MATCH(C1414,'Cadastro Mestre'!$A$5:$A$504,0)),""))</f>
        <v/>
      </c>
      <c r="F1414" s="21"/>
      <c r="G1414" s="21"/>
      <c r="H1414" s="21"/>
      <c r="I1414" s="21"/>
    </row>
    <row r="1415" customFormat="false" ht="15" hidden="false" customHeight="false" outlineLevel="0" collapsed="false">
      <c r="A1415" s="25"/>
      <c r="B1415" s="21"/>
      <c r="C1415" s="21"/>
      <c r="D1415" s="26" t="str">
        <f aca="false">IF(C1415="","",IFERROR(INDEX('Cadastro Mestre'!$C$5:$C$504,MATCH(C1415,'Cadastro Mestre'!$A$5:$A$504,0)),"código não encontrado"))</f>
        <v/>
      </c>
      <c r="E1415" s="24" t="str">
        <f aca="false">IF(C1415="","",IFERROR(INDEX('Cadastro Mestre'!$Q$5:$Q$504,MATCH(C1415,'Cadastro Mestre'!$A$5:$A$504,0)),""))</f>
        <v/>
      </c>
      <c r="F1415" s="21"/>
      <c r="G1415" s="21"/>
      <c r="H1415" s="21"/>
      <c r="I1415" s="21"/>
    </row>
    <row r="1416" customFormat="false" ht="15" hidden="false" customHeight="false" outlineLevel="0" collapsed="false">
      <c r="A1416" s="25"/>
      <c r="B1416" s="21"/>
      <c r="C1416" s="21"/>
      <c r="D1416" s="26" t="str">
        <f aca="false">IF(C1416="","",IFERROR(INDEX('Cadastro Mestre'!$C$5:$C$504,MATCH(C1416,'Cadastro Mestre'!$A$5:$A$504,0)),"código não encontrado"))</f>
        <v/>
      </c>
      <c r="E1416" s="24" t="str">
        <f aca="false">IF(C1416="","",IFERROR(INDEX('Cadastro Mestre'!$Q$5:$Q$504,MATCH(C1416,'Cadastro Mestre'!$A$5:$A$504,0)),""))</f>
        <v/>
      </c>
      <c r="F1416" s="21"/>
      <c r="G1416" s="21"/>
      <c r="H1416" s="21"/>
      <c r="I1416" s="21"/>
    </row>
    <row r="1417" customFormat="false" ht="15" hidden="false" customHeight="false" outlineLevel="0" collapsed="false">
      <c r="A1417" s="25"/>
      <c r="B1417" s="21"/>
      <c r="C1417" s="21"/>
      <c r="D1417" s="26" t="str">
        <f aca="false">IF(C1417="","",IFERROR(INDEX('Cadastro Mestre'!$C$5:$C$504,MATCH(C1417,'Cadastro Mestre'!$A$5:$A$504,0)),"código não encontrado"))</f>
        <v/>
      </c>
      <c r="E1417" s="24" t="str">
        <f aca="false">IF(C1417="","",IFERROR(INDEX('Cadastro Mestre'!$Q$5:$Q$504,MATCH(C1417,'Cadastro Mestre'!$A$5:$A$504,0)),""))</f>
        <v/>
      </c>
      <c r="F1417" s="21"/>
      <c r="G1417" s="21"/>
      <c r="H1417" s="21"/>
      <c r="I1417" s="21"/>
    </row>
    <row r="1418" customFormat="false" ht="15" hidden="false" customHeight="false" outlineLevel="0" collapsed="false">
      <c r="A1418" s="25"/>
      <c r="B1418" s="21"/>
      <c r="C1418" s="21"/>
      <c r="D1418" s="26" t="str">
        <f aca="false">IF(C1418="","",IFERROR(INDEX('Cadastro Mestre'!$C$5:$C$504,MATCH(C1418,'Cadastro Mestre'!$A$5:$A$504,0)),"código não encontrado"))</f>
        <v/>
      </c>
      <c r="E1418" s="24" t="str">
        <f aca="false">IF(C1418="","",IFERROR(INDEX('Cadastro Mestre'!$Q$5:$Q$504,MATCH(C1418,'Cadastro Mestre'!$A$5:$A$504,0)),""))</f>
        <v/>
      </c>
      <c r="F1418" s="21"/>
      <c r="G1418" s="21"/>
      <c r="H1418" s="21"/>
      <c r="I1418" s="21"/>
    </row>
    <row r="1419" customFormat="false" ht="15" hidden="false" customHeight="false" outlineLevel="0" collapsed="false">
      <c r="A1419" s="25"/>
      <c r="B1419" s="21"/>
      <c r="C1419" s="21"/>
      <c r="D1419" s="26" t="str">
        <f aca="false">IF(C1419="","",IFERROR(INDEX('Cadastro Mestre'!$C$5:$C$504,MATCH(C1419,'Cadastro Mestre'!$A$5:$A$504,0)),"código não encontrado"))</f>
        <v/>
      </c>
      <c r="E1419" s="24" t="str">
        <f aca="false">IF(C1419="","",IFERROR(INDEX('Cadastro Mestre'!$Q$5:$Q$504,MATCH(C1419,'Cadastro Mestre'!$A$5:$A$504,0)),""))</f>
        <v/>
      </c>
      <c r="F1419" s="21"/>
      <c r="G1419" s="21"/>
      <c r="H1419" s="21"/>
      <c r="I1419" s="21"/>
    </row>
    <row r="1420" customFormat="false" ht="15" hidden="false" customHeight="false" outlineLevel="0" collapsed="false">
      <c r="A1420" s="25"/>
      <c r="B1420" s="21"/>
      <c r="C1420" s="21"/>
      <c r="D1420" s="26" t="str">
        <f aca="false">IF(C1420="","",IFERROR(INDEX('Cadastro Mestre'!$C$5:$C$504,MATCH(C1420,'Cadastro Mestre'!$A$5:$A$504,0)),"código não encontrado"))</f>
        <v/>
      </c>
      <c r="E1420" s="24" t="str">
        <f aca="false">IF(C1420="","",IFERROR(INDEX('Cadastro Mestre'!$Q$5:$Q$504,MATCH(C1420,'Cadastro Mestre'!$A$5:$A$504,0)),""))</f>
        <v/>
      </c>
      <c r="F1420" s="21"/>
      <c r="G1420" s="21"/>
      <c r="H1420" s="21"/>
      <c r="I1420" s="21"/>
    </row>
    <row r="1421" customFormat="false" ht="15" hidden="false" customHeight="false" outlineLevel="0" collapsed="false">
      <c r="A1421" s="25"/>
      <c r="B1421" s="21"/>
      <c r="C1421" s="21"/>
      <c r="D1421" s="26" t="str">
        <f aca="false">IF(C1421="","",IFERROR(INDEX('Cadastro Mestre'!$C$5:$C$504,MATCH(C1421,'Cadastro Mestre'!$A$5:$A$504,0)),"código não encontrado"))</f>
        <v/>
      </c>
      <c r="E1421" s="24" t="str">
        <f aca="false">IF(C1421="","",IFERROR(INDEX('Cadastro Mestre'!$Q$5:$Q$504,MATCH(C1421,'Cadastro Mestre'!$A$5:$A$504,0)),""))</f>
        <v/>
      </c>
      <c r="F1421" s="21"/>
      <c r="G1421" s="21"/>
      <c r="H1421" s="21"/>
      <c r="I1421" s="21"/>
    </row>
    <row r="1422" customFormat="false" ht="15" hidden="false" customHeight="false" outlineLevel="0" collapsed="false">
      <c r="A1422" s="25"/>
      <c r="B1422" s="21"/>
      <c r="C1422" s="21"/>
      <c r="D1422" s="26" t="str">
        <f aca="false">IF(C1422="","",IFERROR(INDEX('Cadastro Mestre'!$C$5:$C$504,MATCH(C1422,'Cadastro Mestre'!$A$5:$A$504,0)),"código não encontrado"))</f>
        <v/>
      </c>
      <c r="E1422" s="24" t="str">
        <f aca="false">IF(C1422="","",IFERROR(INDEX('Cadastro Mestre'!$Q$5:$Q$504,MATCH(C1422,'Cadastro Mestre'!$A$5:$A$504,0)),""))</f>
        <v/>
      </c>
      <c r="F1422" s="21"/>
      <c r="G1422" s="21"/>
      <c r="H1422" s="21"/>
      <c r="I1422" s="21"/>
    </row>
    <row r="1423" customFormat="false" ht="15" hidden="false" customHeight="false" outlineLevel="0" collapsed="false">
      <c r="A1423" s="25"/>
      <c r="B1423" s="21"/>
      <c r="C1423" s="21"/>
      <c r="D1423" s="26" t="str">
        <f aca="false">IF(C1423="","",IFERROR(INDEX('Cadastro Mestre'!$C$5:$C$504,MATCH(C1423,'Cadastro Mestre'!$A$5:$A$504,0)),"código não encontrado"))</f>
        <v/>
      </c>
      <c r="E1423" s="24" t="str">
        <f aca="false">IF(C1423="","",IFERROR(INDEX('Cadastro Mestre'!$Q$5:$Q$504,MATCH(C1423,'Cadastro Mestre'!$A$5:$A$504,0)),""))</f>
        <v/>
      </c>
      <c r="F1423" s="21"/>
      <c r="G1423" s="21"/>
      <c r="H1423" s="21"/>
      <c r="I1423" s="21"/>
    </row>
    <row r="1424" customFormat="false" ht="15" hidden="false" customHeight="false" outlineLevel="0" collapsed="false">
      <c r="A1424" s="25"/>
      <c r="B1424" s="21"/>
      <c r="C1424" s="21"/>
      <c r="D1424" s="26" t="str">
        <f aca="false">IF(C1424="","",IFERROR(INDEX('Cadastro Mestre'!$C$5:$C$504,MATCH(C1424,'Cadastro Mestre'!$A$5:$A$504,0)),"código não encontrado"))</f>
        <v/>
      </c>
      <c r="E1424" s="24" t="str">
        <f aca="false">IF(C1424="","",IFERROR(INDEX('Cadastro Mestre'!$Q$5:$Q$504,MATCH(C1424,'Cadastro Mestre'!$A$5:$A$504,0)),""))</f>
        <v/>
      </c>
      <c r="F1424" s="21"/>
      <c r="G1424" s="21"/>
      <c r="H1424" s="21"/>
      <c r="I1424" s="21"/>
    </row>
    <row r="1425" customFormat="false" ht="15" hidden="false" customHeight="false" outlineLevel="0" collapsed="false">
      <c r="A1425" s="25"/>
      <c r="B1425" s="21"/>
      <c r="C1425" s="21"/>
      <c r="D1425" s="26" t="str">
        <f aca="false">IF(C1425="","",IFERROR(INDEX('Cadastro Mestre'!$C$5:$C$504,MATCH(C1425,'Cadastro Mestre'!$A$5:$A$504,0)),"código não encontrado"))</f>
        <v/>
      </c>
      <c r="E1425" s="24" t="str">
        <f aca="false">IF(C1425="","",IFERROR(INDEX('Cadastro Mestre'!$Q$5:$Q$504,MATCH(C1425,'Cadastro Mestre'!$A$5:$A$504,0)),""))</f>
        <v/>
      </c>
      <c r="F1425" s="21"/>
      <c r="G1425" s="21"/>
      <c r="H1425" s="21"/>
      <c r="I1425" s="21"/>
    </row>
    <row r="1426" customFormat="false" ht="15" hidden="false" customHeight="false" outlineLevel="0" collapsed="false">
      <c r="A1426" s="25"/>
      <c r="B1426" s="21"/>
      <c r="C1426" s="21"/>
      <c r="D1426" s="26" t="str">
        <f aca="false">IF(C1426="","",IFERROR(INDEX('Cadastro Mestre'!$C$5:$C$504,MATCH(C1426,'Cadastro Mestre'!$A$5:$A$504,0)),"código não encontrado"))</f>
        <v/>
      </c>
      <c r="E1426" s="24" t="str">
        <f aca="false">IF(C1426="","",IFERROR(INDEX('Cadastro Mestre'!$Q$5:$Q$504,MATCH(C1426,'Cadastro Mestre'!$A$5:$A$504,0)),""))</f>
        <v/>
      </c>
      <c r="F1426" s="21"/>
      <c r="G1426" s="21"/>
      <c r="H1426" s="21"/>
      <c r="I1426" s="21"/>
    </row>
    <row r="1427" customFormat="false" ht="15" hidden="false" customHeight="false" outlineLevel="0" collapsed="false">
      <c r="A1427" s="25"/>
      <c r="B1427" s="21"/>
      <c r="C1427" s="21"/>
      <c r="D1427" s="26" t="str">
        <f aca="false">IF(C1427="","",IFERROR(INDEX('Cadastro Mestre'!$C$5:$C$504,MATCH(C1427,'Cadastro Mestre'!$A$5:$A$504,0)),"código não encontrado"))</f>
        <v/>
      </c>
      <c r="E1427" s="24" t="str">
        <f aca="false">IF(C1427="","",IFERROR(INDEX('Cadastro Mestre'!$Q$5:$Q$504,MATCH(C1427,'Cadastro Mestre'!$A$5:$A$504,0)),""))</f>
        <v/>
      </c>
      <c r="F1427" s="21"/>
      <c r="G1427" s="21"/>
      <c r="H1427" s="21"/>
      <c r="I1427" s="21"/>
    </row>
    <row r="1428" customFormat="false" ht="15" hidden="false" customHeight="false" outlineLevel="0" collapsed="false">
      <c r="A1428" s="25"/>
      <c r="B1428" s="21"/>
      <c r="C1428" s="21"/>
      <c r="D1428" s="26" t="str">
        <f aca="false">IF(C1428="","",IFERROR(INDEX('Cadastro Mestre'!$C$5:$C$504,MATCH(C1428,'Cadastro Mestre'!$A$5:$A$504,0)),"código não encontrado"))</f>
        <v/>
      </c>
      <c r="E1428" s="24" t="str">
        <f aca="false">IF(C1428="","",IFERROR(INDEX('Cadastro Mestre'!$Q$5:$Q$504,MATCH(C1428,'Cadastro Mestre'!$A$5:$A$504,0)),""))</f>
        <v/>
      </c>
      <c r="F1428" s="21"/>
      <c r="G1428" s="21"/>
      <c r="H1428" s="21"/>
      <c r="I1428" s="21"/>
    </row>
    <row r="1429" customFormat="false" ht="15" hidden="false" customHeight="false" outlineLevel="0" collapsed="false">
      <c r="A1429" s="25"/>
      <c r="B1429" s="21"/>
      <c r="C1429" s="21"/>
      <c r="D1429" s="26" t="str">
        <f aca="false">IF(C1429="","",IFERROR(INDEX('Cadastro Mestre'!$C$5:$C$504,MATCH(C1429,'Cadastro Mestre'!$A$5:$A$504,0)),"código não encontrado"))</f>
        <v/>
      </c>
      <c r="E1429" s="24" t="str">
        <f aca="false">IF(C1429="","",IFERROR(INDEX('Cadastro Mestre'!$Q$5:$Q$504,MATCH(C1429,'Cadastro Mestre'!$A$5:$A$504,0)),""))</f>
        <v/>
      </c>
      <c r="F1429" s="21"/>
      <c r="G1429" s="21"/>
      <c r="H1429" s="21"/>
      <c r="I1429" s="21"/>
    </row>
    <row r="1430" customFormat="false" ht="15" hidden="false" customHeight="false" outlineLevel="0" collapsed="false">
      <c r="A1430" s="25"/>
      <c r="B1430" s="21"/>
      <c r="C1430" s="21"/>
      <c r="D1430" s="26" t="str">
        <f aca="false">IF(C1430="","",IFERROR(INDEX('Cadastro Mestre'!$C$5:$C$504,MATCH(C1430,'Cadastro Mestre'!$A$5:$A$504,0)),"código não encontrado"))</f>
        <v/>
      </c>
      <c r="E1430" s="24" t="str">
        <f aca="false">IF(C1430="","",IFERROR(INDEX('Cadastro Mestre'!$Q$5:$Q$504,MATCH(C1430,'Cadastro Mestre'!$A$5:$A$504,0)),""))</f>
        <v/>
      </c>
      <c r="F1430" s="21"/>
      <c r="G1430" s="21"/>
      <c r="H1430" s="21"/>
      <c r="I1430" s="21"/>
    </row>
    <row r="1431" customFormat="false" ht="15" hidden="false" customHeight="false" outlineLevel="0" collapsed="false">
      <c r="A1431" s="25"/>
      <c r="B1431" s="21"/>
      <c r="C1431" s="21"/>
      <c r="D1431" s="26" t="str">
        <f aca="false">IF(C1431="","",IFERROR(INDEX('Cadastro Mestre'!$C$5:$C$504,MATCH(C1431,'Cadastro Mestre'!$A$5:$A$504,0)),"código não encontrado"))</f>
        <v/>
      </c>
      <c r="E1431" s="24" t="str">
        <f aca="false">IF(C1431="","",IFERROR(INDEX('Cadastro Mestre'!$Q$5:$Q$504,MATCH(C1431,'Cadastro Mestre'!$A$5:$A$504,0)),""))</f>
        <v/>
      </c>
      <c r="F1431" s="21"/>
      <c r="G1431" s="21"/>
      <c r="H1431" s="21"/>
      <c r="I1431" s="21"/>
    </row>
    <row r="1432" customFormat="false" ht="15" hidden="false" customHeight="false" outlineLevel="0" collapsed="false">
      <c r="A1432" s="25"/>
      <c r="B1432" s="21"/>
      <c r="C1432" s="21"/>
      <c r="D1432" s="26" t="str">
        <f aca="false">IF(C1432="","",IFERROR(INDEX('Cadastro Mestre'!$C$5:$C$504,MATCH(C1432,'Cadastro Mestre'!$A$5:$A$504,0)),"código não encontrado"))</f>
        <v/>
      </c>
      <c r="E1432" s="24" t="str">
        <f aca="false">IF(C1432="","",IFERROR(INDEX('Cadastro Mestre'!$Q$5:$Q$504,MATCH(C1432,'Cadastro Mestre'!$A$5:$A$504,0)),""))</f>
        <v/>
      </c>
      <c r="F1432" s="21"/>
      <c r="G1432" s="21"/>
      <c r="H1432" s="21"/>
      <c r="I1432" s="21"/>
    </row>
    <row r="1433" customFormat="false" ht="15" hidden="false" customHeight="false" outlineLevel="0" collapsed="false">
      <c r="A1433" s="25"/>
      <c r="B1433" s="21"/>
      <c r="C1433" s="21"/>
      <c r="D1433" s="26" t="str">
        <f aca="false">IF(C1433="","",IFERROR(INDEX('Cadastro Mestre'!$C$5:$C$504,MATCH(C1433,'Cadastro Mestre'!$A$5:$A$504,0)),"código não encontrado"))</f>
        <v/>
      </c>
      <c r="E1433" s="24" t="str">
        <f aca="false">IF(C1433="","",IFERROR(INDEX('Cadastro Mestre'!$Q$5:$Q$504,MATCH(C1433,'Cadastro Mestre'!$A$5:$A$504,0)),""))</f>
        <v/>
      </c>
      <c r="F1433" s="21"/>
      <c r="G1433" s="21"/>
      <c r="H1433" s="21"/>
      <c r="I1433" s="21"/>
    </row>
    <row r="1434" customFormat="false" ht="15" hidden="false" customHeight="false" outlineLevel="0" collapsed="false">
      <c r="A1434" s="25"/>
      <c r="B1434" s="21"/>
      <c r="C1434" s="21"/>
      <c r="D1434" s="26" t="str">
        <f aca="false">IF(C1434="","",IFERROR(INDEX('Cadastro Mestre'!$C$5:$C$504,MATCH(C1434,'Cadastro Mestre'!$A$5:$A$504,0)),"código não encontrado"))</f>
        <v/>
      </c>
      <c r="E1434" s="24" t="str">
        <f aca="false">IF(C1434="","",IFERROR(INDEX('Cadastro Mestre'!$Q$5:$Q$504,MATCH(C1434,'Cadastro Mestre'!$A$5:$A$504,0)),""))</f>
        <v/>
      </c>
      <c r="F1434" s="21"/>
      <c r="G1434" s="21"/>
      <c r="H1434" s="21"/>
      <c r="I1434" s="21"/>
    </row>
    <row r="1435" customFormat="false" ht="15" hidden="false" customHeight="false" outlineLevel="0" collapsed="false">
      <c r="A1435" s="25"/>
      <c r="B1435" s="21"/>
      <c r="C1435" s="21"/>
      <c r="D1435" s="26" t="str">
        <f aca="false">IF(C1435="","",IFERROR(INDEX('Cadastro Mestre'!$C$5:$C$504,MATCH(C1435,'Cadastro Mestre'!$A$5:$A$504,0)),"código não encontrado"))</f>
        <v/>
      </c>
      <c r="E1435" s="24" t="str">
        <f aca="false">IF(C1435="","",IFERROR(INDEX('Cadastro Mestre'!$Q$5:$Q$504,MATCH(C1435,'Cadastro Mestre'!$A$5:$A$504,0)),""))</f>
        <v/>
      </c>
      <c r="F1435" s="21"/>
      <c r="G1435" s="21"/>
      <c r="H1435" s="21"/>
      <c r="I1435" s="21"/>
    </row>
    <row r="1436" customFormat="false" ht="15" hidden="false" customHeight="false" outlineLevel="0" collapsed="false">
      <c r="A1436" s="25"/>
      <c r="B1436" s="21"/>
      <c r="C1436" s="21"/>
      <c r="D1436" s="26" t="str">
        <f aca="false">IF(C1436="","",IFERROR(INDEX('Cadastro Mestre'!$C$5:$C$504,MATCH(C1436,'Cadastro Mestre'!$A$5:$A$504,0)),"código não encontrado"))</f>
        <v/>
      </c>
      <c r="E1436" s="24" t="str">
        <f aca="false">IF(C1436="","",IFERROR(INDEX('Cadastro Mestre'!$Q$5:$Q$504,MATCH(C1436,'Cadastro Mestre'!$A$5:$A$504,0)),""))</f>
        <v/>
      </c>
      <c r="F1436" s="21"/>
      <c r="G1436" s="21"/>
      <c r="H1436" s="21"/>
      <c r="I1436" s="21"/>
    </row>
    <row r="1437" customFormat="false" ht="15" hidden="false" customHeight="false" outlineLevel="0" collapsed="false">
      <c r="A1437" s="25"/>
      <c r="B1437" s="21"/>
      <c r="C1437" s="21"/>
      <c r="D1437" s="26" t="str">
        <f aca="false">IF(C1437="","",IFERROR(INDEX('Cadastro Mestre'!$C$5:$C$504,MATCH(C1437,'Cadastro Mestre'!$A$5:$A$504,0)),"código não encontrado"))</f>
        <v/>
      </c>
      <c r="E1437" s="24" t="str">
        <f aca="false">IF(C1437="","",IFERROR(INDEX('Cadastro Mestre'!$Q$5:$Q$504,MATCH(C1437,'Cadastro Mestre'!$A$5:$A$504,0)),""))</f>
        <v/>
      </c>
      <c r="F1437" s="21"/>
      <c r="G1437" s="21"/>
      <c r="H1437" s="21"/>
      <c r="I1437" s="21"/>
    </row>
    <row r="1438" customFormat="false" ht="15" hidden="false" customHeight="false" outlineLevel="0" collapsed="false">
      <c r="A1438" s="25"/>
      <c r="B1438" s="21"/>
      <c r="C1438" s="21"/>
      <c r="D1438" s="26" t="str">
        <f aca="false">IF(C1438="","",IFERROR(INDEX('Cadastro Mestre'!$C$5:$C$504,MATCH(C1438,'Cadastro Mestre'!$A$5:$A$504,0)),"código não encontrado"))</f>
        <v/>
      </c>
      <c r="E1438" s="24" t="str">
        <f aca="false">IF(C1438="","",IFERROR(INDEX('Cadastro Mestre'!$Q$5:$Q$504,MATCH(C1438,'Cadastro Mestre'!$A$5:$A$504,0)),""))</f>
        <v/>
      </c>
      <c r="F1438" s="21"/>
      <c r="G1438" s="21"/>
      <c r="H1438" s="21"/>
      <c r="I1438" s="21"/>
    </row>
    <row r="1439" customFormat="false" ht="15" hidden="false" customHeight="false" outlineLevel="0" collapsed="false">
      <c r="A1439" s="25"/>
      <c r="B1439" s="21"/>
      <c r="C1439" s="21"/>
      <c r="D1439" s="26" t="str">
        <f aca="false">IF(C1439="","",IFERROR(INDEX('Cadastro Mestre'!$C$5:$C$504,MATCH(C1439,'Cadastro Mestre'!$A$5:$A$504,0)),"código não encontrado"))</f>
        <v/>
      </c>
      <c r="E1439" s="24" t="str">
        <f aca="false">IF(C1439="","",IFERROR(INDEX('Cadastro Mestre'!$Q$5:$Q$504,MATCH(C1439,'Cadastro Mestre'!$A$5:$A$504,0)),""))</f>
        <v/>
      </c>
      <c r="F1439" s="21"/>
      <c r="G1439" s="21"/>
      <c r="H1439" s="21"/>
      <c r="I1439" s="21"/>
    </row>
    <row r="1440" customFormat="false" ht="15" hidden="false" customHeight="false" outlineLevel="0" collapsed="false">
      <c r="A1440" s="25"/>
      <c r="B1440" s="21"/>
      <c r="C1440" s="21"/>
      <c r="D1440" s="26" t="str">
        <f aca="false">IF(C1440="","",IFERROR(INDEX('Cadastro Mestre'!$C$5:$C$504,MATCH(C1440,'Cadastro Mestre'!$A$5:$A$504,0)),"código não encontrado"))</f>
        <v/>
      </c>
      <c r="E1440" s="24" t="str">
        <f aca="false">IF(C1440="","",IFERROR(INDEX('Cadastro Mestre'!$Q$5:$Q$504,MATCH(C1440,'Cadastro Mestre'!$A$5:$A$504,0)),""))</f>
        <v/>
      </c>
      <c r="F1440" s="21"/>
      <c r="G1440" s="21"/>
      <c r="H1440" s="21"/>
      <c r="I1440" s="21"/>
    </row>
    <row r="1441" customFormat="false" ht="15" hidden="false" customHeight="false" outlineLevel="0" collapsed="false">
      <c r="A1441" s="25"/>
      <c r="B1441" s="21"/>
      <c r="C1441" s="21"/>
      <c r="D1441" s="26" t="str">
        <f aca="false">IF(C1441="","",IFERROR(INDEX('Cadastro Mestre'!$C$5:$C$504,MATCH(C1441,'Cadastro Mestre'!$A$5:$A$504,0)),"código não encontrado"))</f>
        <v/>
      </c>
      <c r="E1441" s="24" t="str">
        <f aca="false">IF(C1441="","",IFERROR(INDEX('Cadastro Mestre'!$Q$5:$Q$504,MATCH(C1441,'Cadastro Mestre'!$A$5:$A$504,0)),""))</f>
        <v/>
      </c>
      <c r="F1441" s="21"/>
      <c r="G1441" s="21"/>
      <c r="H1441" s="21"/>
      <c r="I1441" s="21"/>
    </row>
    <row r="1442" customFormat="false" ht="15" hidden="false" customHeight="false" outlineLevel="0" collapsed="false">
      <c r="A1442" s="25"/>
      <c r="B1442" s="21"/>
      <c r="C1442" s="21"/>
      <c r="D1442" s="26" t="str">
        <f aca="false">IF(C1442="","",IFERROR(INDEX('Cadastro Mestre'!$C$5:$C$504,MATCH(C1442,'Cadastro Mestre'!$A$5:$A$504,0)),"código não encontrado"))</f>
        <v/>
      </c>
      <c r="E1442" s="24" t="str">
        <f aca="false">IF(C1442="","",IFERROR(INDEX('Cadastro Mestre'!$Q$5:$Q$504,MATCH(C1442,'Cadastro Mestre'!$A$5:$A$504,0)),""))</f>
        <v/>
      </c>
      <c r="F1442" s="21"/>
      <c r="G1442" s="21"/>
      <c r="H1442" s="21"/>
      <c r="I1442" s="21"/>
    </row>
    <row r="1443" customFormat="false" ht="15" hidden="false" customHeight="false" outlineLevel="0" collapsed="false">
      <c r="A1443" s="25"/>
      <c r="B1443" s="21"/>
      <c r="C1443" s="21"/>
      <c r="D1443" s="26" t="str">
        <f aca="false">IF(C1443="","",IFERROR(INDEX('Cadastro Mestre'!$C$5:$C$504,MATCH(C1443,'Cadastro Mestre'!$A$5:$A$504,0)),"código não encontrado"))</f>
        <v/>
      </c>
      <c r="E1443" s="24" t="str">
        <f aca="false">IF(C1443="","",IFERROR(INDEX('Cadastro Mestre'!$Q$5:$Q$504,MATCH(C1443,'Cadastro Mestre'!$A$5:$A$504,0)),""))</f>
        <v/>
      </c>
      <c r="F1443" s="21"/>
      <c r="G1443" s="21"/>
      <c r="H1443" s="21"/>
      <c r="I1443" s="21"/>
    </row>
    <row r="1444" customFormat="false" ht="15" hidden="false" customHeight="false" outlineLevel="0" collapsed="false">
      <c r="A1444" s="25"/>
      <c r="B1444" s="21"/>
      <c r="C1444" s="21"/>
      <c r="D1444" s="26" t="str">
        <f aca="false">IF(C1444="","",IFERROR(INDEX('Cadastro Mestre'!$C$5:$C$504,MATCH(C1444,'Cadastro Mestre'!$A$5:$A$504,0)),"código não encontrado"))</f>
        <v/>
      </c>
      <c r="E1444" s="24" t="str">
        <f aca="false">IF(C1444="","",IFERROR(INDEX('Cadastro Mestre'!$Q$5:$Q$504,MATCH(C1444,'Cadastro Mestre'!$A$5:$A$504,0)),""))</f>
        <v/>
      </c>
      <c r="F1444" s="21"/>
      <c r="G1444" s="21"/>
      <c r="H1444" s="21"/>
      <c r="I1444" s="21"/>
    </row>
    <row r="1445" customFormat="false" ht="15" hidden="false" customHeight="false" outlineLevel="0" collapsed="false">
      <c r="A1445" s="25"/>
      <c r="B1445" s="21"/>
      <c r="C1445" s="21"/>
      <c r="D1445" s="26" t="str">
        <f aca="false">IF(C1445="","",IFERROR(INDEX('Cadastro Mestre'!$C$5:$C$504,MATCH(C1445,'Cadastro Mestre'!$A$5:$A$504,0)),"código não encontrado"))</f>
        <v/>
      </c>
      <c r="E1445" s="24" t="str">
        <f aca="false">IF(C1445="","",IFERROR(INDEX('Cadastro Mestre'!$Q$5:$Q$504,MATCH(C1445,'Cadastro Mestre'!$A$5:$A$504,0)),""))</f>
        <v/>
      </c>
      <c r="F1445" s="21"/>
      <c r="G1445" s="21"/>
      <c r="H1445" s="21"/>
      <c r="I1445" s="21"/>
    </row>
    <row r="1446" customFormat="false" ht="15" hidden="false" customHeight="false" outlineLevel="0" collapsed="false">
      <c r="A1446" s="25"/>
      <c r="B1446" s="21"/>
      <c r="C1446" s="21"/>
      <c r="D1446" s="26" t="str">
        <f aca="false">IF(C1446="","",IFERROR(INDEX('Cadastro Mestre'!$C$5:$C$504,MATCH(C1446,'Cadastro Mestre'!$A$5:$A$504,0)),"código não encontrado"))</f>
        <v/>
      </c>
      <c r="E1446" s="24" t="str">
        <f aca="false">IF(C1446="","",IFERROR(INDEX('Cadastro Mestre'!$Q$5:$Q$504,MATCH(C1446,'Cadastro Mestre'!$A$5:$A$504,0)),""))</f>
        <v/>
      </c>
      <c r="F1446" s="21"/>
      <c r="G1446" s="21"/>
      <c r="H1446" s="21"/>
      <c r="I1446" s="21"/>
    </row>
    <row r="1447" customFormat="false" ht="15" hidden="false" customHeight="false" outlineLevel="0" collapsed="false">
      <c r="A1447" s="25"/>
      <c r="B1447" s="21"/>
      <c r="C1447" s="21"/>
      <c r="D1447" s="26" t="str">
        <f aca="false">IF(C1447="","",IFERROR(INDEX('Cadastro Mestre'!$C$5:$C$504,MATCH(C1447,'Cadastro Mestre'!$A$5:$A$504,0)),"código não encontrado"))</f>
        <v/>
      </c>
      <c r="E1447" s="24" t="str">
        <f aca="false">IF(C1447="","",IFERROR(INDEX('Cadastro Mestre'!$Q$5:$Q$504,MATCH(C1447,'Cadastro Mestre'!$A$5:$A$504,0)),""))</f>
        <v/>
      </c>
      <c r="F1447" s="21"/>
      <c r="G1447" s="21"/>
      <c r="H1447" s="21"/>
      <c r="I1447" s="21"/>
    </row>
    <row r="1448" customFormat="false" ht="15" hidden="false" customHeight="false" outlineLevel="0" collapsed="false">
      <c r="A1448" s="25"/>
      <c r="B1448" s="21"/>
      <c r="C1448" s="21"/>
      <c r="D1448" s="26" t="str">
        <f aca="false">IF(C1448="","",IFERROR(INDEX('Cadastro Mestre'!$C$5:$C$504,MATCH(C1448,'Cadastro Mestre'!$A$5:$A$504,0)),"código não encontrado"))</f>
        <v/>
      </c>
      <c r="E1448" s="24" t="str">
        <f aca="false">IF(C1448="","",IFERROR(INDEX('Cadastro Mestre'!$Q$5:$Q$504,MATCH(C1448,'Cadastro Mestre'!$A$5:$A$504,0)),""))</f>
        <v/>
      </c>
      <c r="F1448" s="21"/>
      <c r="G1448" s="21"/>
      <c r="H1448" s="21"/>
      <c r="I1448" s="21"/>
    </row>
    <row r="1449" customFormat="false" ht="15" hidden="false" customHeight="false" outlineLevel="0" collapsed="false">
      <c r="A1449" s="25"/>
      <c r="B1449" s="21"/>
      <c r="C1449" s="21"/>
      <c r="D1449" s="26" t="str">
        <f aca="false">IF(C1449="","",IFERROR(INDEX('Cadastro Mestre'!$C$5:$C$504,MATCH(C1449,'Cadastro Mestre'!$A$5:$A$504,0)),"código não encontrado"))</f>
        <v/>
      </c>
      <c r="E1449" s="24" t="str">
        <f aca="false">IF(C1449="","",IFERROR(INDEX('Cadastro Mestre'!$Q$5:$Q$504,MATCH(C1449,'Cadastro Mestre'!$A$5:$A$504,0)),""))</f>
        <v/>
      </c>
      <c r="F1449" s="21"/>
      <c r="G1449" s="21"/>
      <c r="H1449" s="21"/>
      <c r="I1449" s="21"/>
    </row>
    <row r="1450" customFormat="false" ht="15" hidden="false" customHeight="false" outlineLevel="0" collapsed="false">
      <c r="A1450" s="25"/>
      <c r="B1450" s="21"/>
      <c r="C1450" s="21"/>
      <c r="D1450" s="26" t="str">
        <f aca="false">IF(C1450="","",IFERROR(INDEX('Cadastro Mestre'!$C$5:$C$504,MATCH(C1450,'Cadastro Mestre'!$A$5:$A$504,0)),"código não encontrado"))</f>
        <v/>
      </c>
      <c r="E1450" s="24" t="str">
        <f aca="false">IF(C1450="","",IFERROR(INDEX('Cadastro Mestre'!$Q$5:$Q$504,MATCH(C1450,'Cadastro Mestre'!$A$5:$A$504,0)),""))</f>
        <v/>
      </c>
      <c r="F1450" s="21"/>
      <c r="G1450" s="21"/>
      <c r="H1450" s="21"/>
      <c r="I1450" s="21"/>
    </row>
    <row r="1451" customFormat="false" ht="15" hidden="false" customHeight="false" outlineLevel="0" collapsed="false">
      <c r="A1451" s="25"/>
      <c r="B1451" s="21"/>
      <c r="C1451" s="21"/>
      <c r="D1451" s="26" t="str">
        <f aca="false">IF(C1451="","",IFERROR(INDEX('Cadastro Mestre'!$C$5:$C$504,MATCH(C1451,'Cadastro Mestre'!$A$5:$A$504,0)),"código não encontrado"))</f>
        <v/>
      </c>
      <c r="E1451" s="24" t="str">
        <f aca="false">IF(C1451="","",IFERROR(INDEX('Cadastro Mestre'!$Q$5:$Q$504,MATCH(C1451,'Cadastro Mestre'!$A$5:$A$504,0)),""))</f>
        <v/>
      </c>
      <c r="F1451" s="21"/>
      <c r="G1451" s="21"/>
      <c r="H1451" s="21"/>
      <c r="I1451" s="21"/>
    </row>
    <row r="1452" customFormat="false" ht="15" hidden="false" customHeight="false" outlineLevel="0" collapsed="false">
      <c r="A1452" s="25"/>
      <c r="B1452" s="21"/>
      <c r="C1452" s="21"/>
      <c r="D1452" s="26" t="str">
        <f aca="false">IF(C1452="","",IFERROR(INDEX('Cadastro Mestre'!$C$5:$C$504,MATCH(C1452,'Cadastro Mestre'!$A$5:$A$504,0)),"código não encontrado"))</f>
        <v/>
      </c>
      <c r="E1452" s="24" t="str">
        <f aca="false">IF(C1452="","",IFERROR(INDEX('Cadastro Mestre'!$Q$5:$Q$504,MATCH(C1452,'Cadastro Mestre'!$A$5:$A$504,0)),""))</f>
        <v/>
      </c>
      <c r="F1452" s="21"/>
      <c r="G1452" s="21"/>
      <c r="H1452" s="21"/>
      <c r="I1452" s="21"/>
    </row>
    <row r="1453" customFormat="false" ht="15" hidden="false" customHeight="false" outlineLevel="0" collapsed="false">
      <c r="A1453" s="25"/>
      <c r="B1453" s="21"/>
      <c r="C1453" s="21"/>
      <c r="D1453" s="26" t="str">
        <f aca="false">IF(C1453="","",IFERROR(INDEX('Cadastro Mestre'!$C$5:$C$504,MATCH(C1453,'Cadastro Mestre'!$A$5:$A$504,0)),"código não encontrado"))</f>
        <v/>
      </c>
      <c r="E1453" s="24" t="str">
        <f aca="false">IF(C1453="","",IFERROR(INDEX('Cadastro Mestre'!$Q$5:$Q$504,MATCH(C1453,'Cadastro Mestre'!$A$5:$A$504,0)),""))</f>
        <v/>
      </c>
      <c r="F1453" s="21"/>
      <c r="G1453" s="21"/>
      <c r="H1453" s="21"/>
      <c r="I1453" s="21"/>
    </row>
    <row r="1454" customFormat="false" ht="15" hidden="false" customHeight="false" outlineLevel="0" collapsed="false">
      <c r="A1454" s="25"/>
      <c r="B1454" s="21"/>
      <c r="C1454" s="21"/>
      <c r="D1454" s="26" t="str">
        <f aca="false">IF(C1454="","",IFERROR(INDEX('Cadastro Mestre'!$C$5:$C$504,MATCH(C1454,'Cadastro Mestre'!$A$5:$A$504,0)),"código não encontrado"))</f>
        <v/>
      </c>
      <c r="E1454" s="24" t="str">
        <f aca="false">IF(C1454="","",IFERROR(INDEX('Cadastro Mestre'!$Q$5:$Q$504,MATCH(C1454,'Cadastro Mestre'!$A$5:$A$504,0)),""))</f>
        <v/>
      </c>
      <c r="F1454" s="21"/>
      <c r="G1454" s="21"/>
      <c r="H1454" s="21"/>
      <c r="I1454" s="21"/>
    </row>
    <row r="1455" customFormat="false" ht="15" hidden="false" customHeight="false" outlineLevel="0" collapsed="false">
      <c r="A1455" s="25"/>
      <c r="B1455" s="21"/>
      <c r="C1455" s="21"/>
      <c r="D1455" s="26" t="str">
        <f aca="false">IF(C1455="","",IFERROR(INDEX('Cadastro Mestre'!$C$5:$C$504,MATCH(C1455,'Cadastro Mestre'!$A$5:$A$504,0)),"código não encontrado"))</f>
        <v/>
      </c>
      <c r="E1455" s="24" t="str">
        <f aca="false">IF(C1455="","",IFERROR(INDEX('Cadastro Mestre'!$Q$5:$Q$504,MATCH(C1455,'Cadastro Mestre'!$A$5:$A$504,0)),""))</f>
        <v/>
      </c>
      <c r="F1455" s="21"/>
      <c r="G1455" s="21"/>
      <c r="H1455" s="21"/>
      <c r="I1455" s="21"/>
    </row>
    <row r="1456" customFormat="false" ht="15" hidden="false" customHeight="false" outlineLevel="0" collapsed="false">
      <c r="A1456" s="25"/>
      <c r="B1456" s="21"/>
      <c r="C1456" s="21"/>
      <c r="D1456" s="26" t="str">
        <f aca="false">IF(C1456="","",IFERROR(INDEX('Cadastro Mestre'!$C$5:$C$504,MATCH(C1456,'Cadastro Mestre'!$A$5:$A$504,0)),"código não encontrado"))</f>
        <v/>
      </c>
      <c r="E1456" s="24" t="str">
        <f aca="false">IF(C1456="","",IFERROR(INDEX('Cadastro Mestre'!$Q$5:$Q$504,MATCH(C1456,'Cadastro Mestre'!$A$5:$A$504,0)),""))</f>
        <v/>
      </c>
      <c r="F1456" s="21"/>
      <c r="G1456" s="21"/>
      <c r="H1456" s="21"/>
      <c r="I1456" s="21"/>
    </row>
    <row r="1457" customFormat="false" ht="15" hidden="false" customHeight="false" outlineLevel="0" collapsed="false">
      <c r="A1457" s="25"/>
      <c r="B1457" s="21"/>
      <c r="C1457" s="21"/>
      <c r="D1457" s="26" t="str">
        <f aca="false">IF(C1457="","",IFERROR(INDEX('Cadastro Mestre'!$C$5:$C$504,MATCH(C1457,'Cadastro Mestre'!$A$5:$A$504,0)),"código não encontrado"))</f>
        <v/>
      </c>
      <c r="E1457" s="24" t="str">
        <f aca="false">IF(C1457="","",IFERROR(INDEX('Cadastro Mestre'!$Q$5:$Q$504,MATCH(C1457,'Cadastro Mestre'!$A$5:$A$504,0)),""))</f>
        <v/>
      </c>
      <c r="F1457" s="21"/>
      <c r="G1457" s="21"/>
      <c r="H1457" s="21"/>
      <c r="I1457" s="21"/>
    </row>
    <row r="1458" customFormat="false" ht="15" hidden="false" customHeight="false" outlineLevel="0" collapsed="false">
      <c r="A1458" s="25"/>
      <c r="B1458" s="21"/>
      <c r="C1458" s="21"/>
      <c r="D1458" s="26" t="str">
        <f aca="false">IF(C1458="","",IFERROR(INDEX('Cadastro Mestre'!$C$5:$C$504,MATCH(C1458,'Cadastro Mestre'!$A$5:$A$504,0)),"código não encontrado"))</f>
        <v/>
      </c>
      <c r="E1458" s="24" t="str">
        <f aca="false">IF(C1458="","",IFERROR(INDEX('Cadastro Mestre'!$Q$5:$Q$504,MATCH(C1458,'Cadastro Mestre'!$A$5:$A$504,0)),""))</f>
        <v/>
      </c>
      <c r="F1458" s="21"/>
      <c r="G1458" s="21"/>
      <c r="H1458" s="21"/>
      <c r="I1458" s="21"/>
    </row>
    <row r="1459" customFormat="false" ht="15" hidden="false" customHeight="false" outlineLevel="0" collapsed="false">
      <c r="A1459" s="25"/>
      <c r="B1459" s="21"/>
      <c r="C1459" s="21"/>
      <c r="D1459" s="26" t="str">
        <f aca="false">IF(C1459="","",IFERROR(INDEX('Cadastro Mestre'!$C$5:$C$504,MATCH(C1459,'Cadastro Mestre'!$A$5:$A$504,0)),"código não encontrado"))</f>
        <v/>
      </c>
      <c r="E1459" s="24" t="str">
        <f aca="false">IF(C1459="","",IFERROR(INDEX('Cadastro Mestre'!$Q$5:$Q$504,MATCH(C1459,'Cadastro Mestre'!$A$5:$A$504,0)),""))</f>
        <v/>
      </c>
      <c r="F1459" s="21"/>
      <c r="G1459" s="21"/>
      <c r="H1459" s="21"/>
      <c r="I1459" s="21"/>
    </row>
    <row r="1460" customFormat="false" ht="15" hidden="false" customHeight="false" outlineLevel="0" collapsed="false">
      <c r="A1460" s="25"/>
      <c r="B1460" s="21"/>
      <c r="C1460" s="21"/>
      <c r="D1460" s="26" t="str">
        <f aca="false">IF(C1460="","",IFERROR(INDEX('Cadastro Mestre'!$C$5:$C$504,MATCH(C1460,'Cadastro Mestre'!$A$5:$A$504,0)),"código não encontrado"))</f>
        <v/>
      </c>
      <c r="E1460" s="24" t="str">
        <f aca="false">IF(C1460="","",IFERROR(INDEX('Cadastro Mestre'!$Q$5:$Q$504,MATCH(C1460,'Cadastro Mestre'!$A$5:$A$504,0)),""))</f>
        <v/>
      </c>
      <c r="F1460" s="21"/>
      <c r="G1460" s="21"/>
      <c r="H1460" s="21"/>
      <c r="I1460" s="21"/>
    </row>
    <row r="1461" customFormat="false" ht="15" hidden="false" customHeight="false" outlineLevel="0" collapsed="false">
      <c r="A1461" s="25"/>
      <c r="B1461" s="21"/>
      <c r="C1461" s="21"/>
      <c r="D1461" s="26" t="str">
        <f aca="false">IF(C1461="","",IFERROR(INDEX('Cadastro Mestre'!$C$5:$C$504,MATCH(C1461,'Cadastro Mestre'!$A$5:$A$504,0)),"código não encontrado"))</f>
        <v/>
      </c>
      <c r="E1461" s="24" t="str">
        <f aca="false">IF(C1461="","",IFERROR(INDEX('Cadastro Mestre'!$Q$5:$Q$504,MATCH(C1461,'Cadastro Mestre'!$A$5:$A$504,0)),""))</f>
        <v/>
      </c>
      <c r="F1461" s="21"/>
      <c r="G1461" s="21"/>
      <c r="H1461" s="21"/>
      <c r="I1461" s="21"/>
    </row>
    <row r="1462" customFormat="false" ht="15" hidden="false" customHeight="false" outlineLevel="0" collapsed="false">
      <c r="A1462" s="25"/>
      <c r="B1462" s="21"/>
      <c r="C1462" s="21"/>
      <c r="D1462" s="26" t="str">
        <f aca="false">IF(C1462="","",IFERROR(INDEX('Cadastro Mestre'!$C$5:$C$504,MATCH(C1462,'Cadastro Mestre'!$A$5:$A$504,0)),"código não encontrado"))</f>
        <v/>
      </c>
      <c r="E1462" s="24" t="str">
        <f aca="false">IF(C1462="","",IFERROR(INDEX('Cadastro Mestre'!$Q$5:$Q$504,MATCH(C1462,'Cadastro Mestre'!$A$5:$A$504,0)),""))</f>
        <v/>
      </c>
      <c r="F1462" s="21"/>
      <c r="G1462" s="21"/>
      <c r="H1462" s="21"/>
      <c r="I1462" s="21"/>
    </row>
    <row r="1463" customFormat="false" ht="15" hidden="false" customHeight="false" outlineLevel="0" collapsed="false">
      <c r="A1463" s="25"/>
      <c r="B1463" s="21"/>
      <c r="C1463" s="21"/>
      <c r="D1463" s="26" t="str">
        <f aca="false">IF(C1463="","",IFERROR(INDEX('Cadastro Mestre'!$C$5:$C$504,MATCH(C1463,'Cadastro Mestre'!$A$5:$A$504,0)),"código não encontrado"))</f>
        <v/>
      </c>
      <c r="E1463" s="24" t="str">
        <f aca="false">IF(C1463="","",IFERROR(INDEX('Cadastro Mestre'!$Q$5:$Q$504,MATCH(C1463,'Cadastro Mestre'!$A$5:$A$504,0)),""))</f>
        <v/>
      </c>
      <c r="F1463" s="21"/>
      <c r="G1463" s="21"/>
      <c r="H1463" s="21"/>
      <c r="I1463" s="21"/>
    </row>
    <row r="1464" customFormat="false" ht="15" hidden="false" customHeight="false" outlineLevel="0" collapsed="false">
      <c r="A1464" s="25"/>
      <c r="B1464" s="21"/>
      <c r="C1464" s="21"/>
      <c r="D1464" s="26" t="str">
        <f aca="false">IF(C1464="","",IFERROR(INDEX('Cadastro Mestre'!$C$5:$C$504,MATCH(C1464,'Cadastro Mestre'!$A$5:$A$504,0)),"código não encontrado"))</f>
        <v/>
      </c>
      <c r="E1464" s="24" t="str">
        <f aca="false">IF(C1464="","",IFERROR(INDEX('Cadastro Mestre'!$Q$5:$Q$504,MATCH(C1464,'Cadastro Mestre'!$A$5:$A$504,0)),""))</f>
        <v/>
      </c>
      <c r="F1464" s="21"/>
      <c r="G1464" s="21"/>
      <c r="H1464" s="21"/>
      <c r="I1464" s="21"/>
    </row>
    <row r="1465" customFormat="false" ht="15" hidden="false" customHeight="false" outlineLevel="0" collapsed="false">
      <c r="A1465" s="25"/>
      <c r="B1465" s="21"/>
      <c r="C1465" s="21"/>
      <c r="D1465" s="26" t="str">
        <f aca="false">IF(C1465="","",IFERROR(INDEX('Cadastro Mestre'!$C$5:$C$504,MATCH(C1465,'Cadastro Mestre'!$A$5:$A$504,0)),"código não encontrado"))</f>
        <v/>
      </c>
      <c r="E1465" s="24" t="str">
        <f aca="false">IF(C1465="","",IFERROR(INDEX('Cadastro Mestre'!$Q$5:$Q$504,MATCH(C1465,'Cadastro Mestre'!$A$5:$A$504,0)),""))</f>
        <v/>
      </c>
      <c r="F1465" s="21"/>
      <c r="G1465" s="21"/>
      <c r="H1465" s="21"/>
      <c r="I1465" s="21"/>
    </row>
    <row r="1466" customFormat="false" ht="15" hidden="false" customHeight="false" outlineLevel="0" collapsed="false">
      <c r="A1466" s="25"/>
      <c r="B1466" s="21"/>
      <c r="C1466" s="21"/>
      <c r="D1466" s="26" t="str">
        <f aca="false">IF(C1466="","",IFERROR(INDEX('Cadastro Mestre'!$C$5:$C$504,MATCH(C1466,'Cadastro Mestre'!$A$5:$A$504,0)),"código não encontrado"))</f>
        <v/>
      </c>
      <c r="E1466" s="24" t="str">
        <f aca="false">IF(C1466="","",IFERROR(INDEX('Cadastro Mestre'!$Q$5:$Q$504,MATCH(C1466,'Cadastro Mestre'!$A$5:$A$504,0)),""))</f>
        <v/>
      </c>
      <c r="F1466" s="21"/>
      <c r="G1466" s="21"/>
      <c r="H1466" s="21"/>
      <c r="I1466" s="21"/>
    </row>
    <row r="1467" customFormat="false" ht="15" hidden="false" customHeight="false" outlineLevel="0" collapsed="false">
      <c r="A1467" s="25"/>
      <c r="B1467" s="21"/>
      <c r="C1467" s="21"/>
      <c r="D1467" s="26" t="str">
        <f aca="false">IF(C1467="","",IFERROR(INDEX('Cadastro Mestre'!$C$5:$C$504,MATCH(C1467,'Cadastro Mestre'!$A$5:$A$504,0)),"código não encontrado"))</f>
        <v/>
      </c>
      <c r="E1467" s="24" t="str">
        <f aca="false">IF(C1467="","",IFERROR(INDEX('Cadastro Mestre'!$Q$5:$Q$504,MATCH(C1467,'Cadastro Mestre'!$A$5:$A$504,0)),""))</f>
        <v/>
      </c>
      <c r="F1467" s="21"/>
      <c r="G1467" s="21"/>
      <c r="H1467" s="21"/>
      <c r="I1467" s="21"/>
    </row>
    <row r="1468" customFormat="false" ht="15" hidden="false" customHeight="false" outlineLevel="0" collapsed="false">
      <c r="A1468" s="25"/>
      <c r="B1468" s="21"/>
      <c r="C1468" s="21"/>
      <c r="D1468" s="26" t="str">
        <f aca="false">IF(C1468="","",IFERROR(INDEX('Cadastro Mestre'!$C$5:$C$504,MATCH(C1468,'Cadastro Mestre'!$A$5:$A$504,0)),"código não encontrado"))</f>
        <v/>
      </c>
      <c r="E1468" s="24" t="str">
        <f aca="false">IF(C1468="","",IFERROR(INDEX('Cadastro Mestre'!$Q$5:$Q$504,MATCH(C1468,'Cadastro Mestre'!$A$5:$A$504,0)),""))</f>
        <v/>
      </c>
      <c r="F1468" s="21"/>
      <c r="G1468" s="21"/>
      <c r="H1468" s="21"/>
      <c r="I1468" s="21"/>
    </row>
    <row r="1469" customFormat="false" ht="15" hidden="false" customHeight="false" outlineLevel="0" collapsed="false">
      <c r="A1469" s="25"/>
      <c r="B1469" s="21"/>
      <c r="C1469" s="21"/>
      <c r="D1469" s="26" t="str">
        <f aca="false">IF(C1469="","",IFERROR(INDEX('Cadastro Mestre'!$C$5:$C$504,MATCH(C1469,'Cadastro Mestre'!$A$5:$A$504,0)),"código não encontrado"))</f>
        <v/>
      </c>
      <c r="E1469" s="24" t="str">
        <f aca="false">IF(C1469="","",IFERROR(INDEX('Cadastro Mestre'!$Q$5:$Q$504,MATCH(C1469,'Cadastro Mestre'!$A$5:$A$504,0)),""))</f>
        <v/>
      </c>
      <c r="F1469" s="21"/>
      <c r="G1469" s="21"/>
      <c r="H1469" s="21"/>
      <c r="I1469" s="21"/>
    </row>
    <row r="1470" customFormat="false" ht="15" hidden="false" customHeight="false" outlineLevel="0" collapsed="false">
      <c r="A1470" s="25"/>
      <c r="B1470" s="21"/>
      <c r="C1470" s="21"/>
      <c r="D1470" s="26" t="str">
        <f aca="false">IF(C1470="","",IFERROR(INDEX('Cadastro Mestre'!$C$5:$C$504,MATCH(C1470,'Cadastro Mestre'!$A$5:$A$504,0)),"código não encontrado"))</f>
        <v/>
      </c>
      <c r="E1470" s="24" t="str">
        <f aca="false">IF(C1470="","",IFERROR(INDEX('Cadastro Mestre'!$Q$5:$Q$504,MATCH(C1470,'Cadastro Mestre'!$A$5:$A$504,0)),""))</f>
        <v/>
      </c>
      <c r="F1470" s="21"/>
      <c r="G1470" s="21"/>
      <c r="H1470" s="21"/>
      <c r="I1470" s="21"/>
    </row>
    <row r="1471" customFormat="false" ht="15" hidden="false" customHeight="false" outlineLevel="0" collapsed="false">
      <c r="A1471" s="25"/>
      <c r="B1471" s="21"/>
      <c r="C1471" s="21"/>
      <c r="D1471" s="26" t="str">
        <f aca="false">IF(C1471="","",IFERROR(INDEX('Cadastro Mestre'!$C$5:$C$504,MATCH(C1471,'Cadastro Mestre'!$A$5:$A$504,0)),"código não encontrado"))</f>
        <v/>
      </c>
      <c r="E1471" s="24" t="str">
        <f aca="false">IF(C1471="","",IFERROR(INDEX('Cadastro Mestre'!$Q$5:$Q$504,MATCH(C1471,'Cadastro Mestre'!$A$5:$A$504,0)),""))</f>
        <v/>
      </c>
      <c r="F1471" s="21"/>
      <c r="G1471" s="21"/>
      <c r="H1471" s="21"/>
      <c r="I1471" s="21"/>
    </row>
    <row r="1472" customFormat="false" ht="15" hidden="false" customHeight="false" outlineLevel="0" collapsed="false">
      <c r="A1472" s="25"/>
      <c r="B1472" s="21"/>
      <c r="C1472" s="21"/>
      <c r="D1472" s="26" t="str">
        <f aca="false">IF(C1472="","",IFERROR(INDEX('Cadastro Mestre'!$C$5:$C$504,MATCH(C1472,'Cadastro Mestre'!$A$5:$A$504,0)),"código não encontrado"))</f>
        <v/>
      </c>
      <c r="E1472" s="24" t="str">
        <f aca="false">IF(C1472="","",IFERROR(INDEX('Cadastro Mestre'!$Q$5:$Q$504,MATCH(C1472,'Cadastro Mestre'!$A$5:$A$504,0)),""))</f>
        <v/>
      </c>
      <c r="F1472" s="21"/>
      <c r="G1472" s="21"/>
      <c r="H1472" s="21"/>
      <c r="I1472" s="21"/>
    </row>
    <row r="1473" customFormat="false" ht="15" hidden="false" customHeight="false" outlineLevel="0" collapsed="false">
      <c r="A1473" s="25"/>
      <c r="B1473" s="21"/>
      <c r="C1473" s="21"/>
      <c r="D1473" s="26" t="str">
        <f aca="false">IF(C1473="","",IFERROR(INDEX('Cadastro Mestre'!$C$5:$C$504,MATCH(C1473,'Cadastro Mestre'!$A$5:$A$504,0)),"código não encontrado"))</f>
        <v/>
      </c>
      <c r="E1473" s="24" t="str">
        <f aca="false">IF(C1473="","",IFERROR(INDEX('Cadastro Mestre'!$Q$5:$Q$504,MATCH(C1473,'Cadastro Mestre'!$A$5:$A$504,0)),""))</f>
        <v/>
      </c>
      <c r="F1473" s="21"/>
      <c r="G1473" s="21"/>
      <c r="H1473" s="21"/>
      <c r="I1473" s="21"/>
    </row>
    <row r="1474" customFormat="false" ht="15" hidden="false" customHeight="false" outlineLevel="0" collapsed="false">
      <c r="A1474" s="25"/>
      <c r="B1474" s="21"/>
      <c r="C1474" s="21"/>
      <c r="D1474" s="26" t="str">
        <f aca="false">IF(C1474="","",IFERROR(INDEX('Cadastro Mestre'!$C$5:$C$504,MATCH(C1474,'Cadastro Mestre'!$A$5:$A$504,0)),"código não encontrado"))</f>
        <v/>
      </c>
      <c r="E1474" s="24" t="str">
        <f aca="false">IF(C1474="","",IFERROR(INDEX('Cadastro Mestre'!$Q$5:$Q$504,MATCH(C1474,'Cadastro Mestre'!$A$5:$A$504,0)),""))</f>
        <v/>
      </c>
      <c r="F1474" s="21"/>
      <c r="G1474" s="21"/>
      <c r="H1474" s="21"/>
      <c r="I1474" s="21"/>
    </row>
    <row r="1475" customFormat="false" ht="15" hidden="false" customHeight="false" outlineLevel="0" collapsed="false">
      <c r="A1475" s="25"/>
      <c r="B1475" s="21"/>
      <c r="C1475" s="21"/>
      <c r="D1475" s="26" t="str">
        <f aca="false">IF(C1475="","",IFERROR(INDEX('Cadastro Mestre'!$C$5:$C$504,MATCH(C1475,'Cadastro Mestre'!$A$5:$A$504,0)),"código não encontrado"))</f>
        <v/>
      </c>
      <c r="E1475" s="24" t="str">
        <f aca="false">IF(C1475="","",IFERROR(INDEX('Cadastro Mestre'!$Q$5:$Q$504,MATCH(C1475,'Cadastro Mestre'!$A$5:$A$504,0)),""))</f>
        <v/>
      </c>
      <c r="F1475" s="21"/>
      <c r="G1475" s="21"/>
      <c r="H1475" s="21"/>
      <c r="I1475" s="21"/>
    </row>
    <row r="1476" customFormat="false" ht="15" hidden="false" customHeight="false" outlineLevel="0" collapsed="false">
      <c r="A1476" s="25"/>
      <c r="B1476" s="21"/>
      <c r="C1476" s="21"/>
      <c r="D1476" s="26" t="str">
        <f aca="false">IF(C1476="","",IFERROR(INDEX('Cadastro Mestre'!$C$5:$C$504,MATCH(C1476,'Cadastro Mestre'!$A$5:$A$504,0)),"código não encontrado"))</f>
        <v/>
      </c>
      <c r="E1476" s="24" t="str">
        <f aca="false">IF(C1476="","",IFERROR(INDEX('Cadastro Mestre'!$Q$5:$Q$504,MATCH(C1476,'Cadastro Mestre'!$A$5:$A$504,0)),""))</f>
        <v/>
      </c>
      <c r="F1476" s="21"/>
      <c r="G1476" s="21"/>
      <c r="H1476" s="21"/>
      <c r="I1476" s="21"/>
    </row>
    <row r="1477" customFormat="false" ht="15" hidden="false" customHeight="false" outlineLevel="0" collapsed="false">
      <c r="A1477" s="25"/>
      <c r="B1477" s="21"/>
      <c r="C1477" s="21"/>
      <c r="D1477" s="26" t="str">
        <f aca="false">IF(C1477="","",IFERROR(INDEX('Cadastro Mestre'!$C$5:$C$504,MATCH(C1477,'Cadastro Mestre'!$A$5:$A$504,0)),"código não encontrado"))</f>
        <v/>
      </c>
      <c r="E1477" s="24" t="str">
        <f aca="false">IF(C1477="","",IFERROR(INDEX('Cadastro Mestre'!$Q$5:$Q$504,MATCH(C1477,'Cadastro Mestre'!$A$5:$A$504,0)),""))</f>
        <v/>
      </c>
      <c r="F1477" s="21"/>
      <c r="G1477" s="21"/>
      <c r="H1477" s="21"/>
      <c r="I1477" s="21"/>
    </row>
    <row r="1478" customFormat="false" ht="15" hidden="false" customHeight="false" outlineLevel="0" collapsed="false">
      <c r="A1478" s="25"/>
      <c r="B1478" s="21"/>
      <c r="C1478" s="21"/>
      <c r="D1478" s="26" t="str">
        <f aca="false">IF(C1478="","",IFERROR(INDEX('Cadastro Mestre'!$C$5:$C$504,MATCH(C1478,'Cadastro Mestre'!$A$5:$A$504,0)),"código não encontrado"))</f>
        <v/>
      </c>
      <c r="E1478" s="24" t="str">
        <f aca="false">IF(C1478="","",IFERROR(INDEX('Cadastro Mestre'!$Q$5:$Q$504,MATCH(C1478,'Cadastro Mestre'!$A$5:$A$504,0)),""))</f>
        <v/>
      </c>
      <c r="F1478" s="21"/>
      <c r="G1478" s="21"/>
      <c r="H1478" s="21"/>
      <c r="I1478" s="21"/>
    </row>
    <row r="1479" customFormat="false" ht="15" hidden="false" customHeight="false" outlineLevel="0" collapsed="false">
      <c r="A1479" s="25"/>
      <c r="B1479" s="21"/>
      <c r="C1479" s="21"/>
      <c r="D1479" s="26" t="str">
        <f aca="false">IF(C1479="","",IFERROR(INDEX('Cadastro Mestre'!$C$5:$C$504,MATCH(C1479,'Cadastro Mestre'!$A$5:$A$504,0)),"código não encontrado"))</f>
        <v/>
      </c>
      <c r="E1479" s="24" t="str">
        <f aca="false">IF(C1479="","",IFERROR(INDEX('Cadastro Mestre'!$Q$5:$Q$504,MATCH(C1479,'Cadastro Mestre'!$A$5:$A$504,0)),""))</f>
        <v/>
      </c>
      <c r="F1479" s="21"/>
      <c r="G1479" s="21"/>
      <c r="H1479" s="21"/>
      <c r="I1479" s="21"/>
    </row>
    <row r="1480" customFormat="false" ht="15" hidden="false" customHeight="false" outlineLevel="0" collapsed="false">
      <c r="A1480" s="25"/>
      <c r="B1480" s="21"/>
      <c r="C1480" s="21"/>
      <c r="D1480" s="26" t="str">
        <f aca="false">IF(C1480="","",IFERROR(INDEX('Cadastro Mestre'!$C$5:$C$504,MATCH(C1480,'Cadastro Mestre'!$A$5:$A$504,0)),"código não encontrado"))</f>
        <v/>
      </c>
      <c r="E1480" s="24" t="str">
        <f aca="false">IF(C1480="","",IFERROR(INDEX('Cadastro Mestre'!$Q$5:$Q$504,MATCH(C1480,'Cadastro Mestre'!$A$5:$A$504,0)),""))</f>
        <v/>
      </c>
      <c r="F1480" s="21"/>
      <c r="G1480" s="21"/>
      <c r="H1480" s="21"/>
      <c r="I1480" s="21"/>
    </row>
    <row r="1481" customFormat="false" ht="15" hidden="false" customHeight="false" outlineLevel="0" collapsed="false">
      <c r="A1481" s="25"/>
      <c r="B1481" s="21"/>
      <c r="C1481" s="21"/>
      <c r="D1481" s="26" t="str">
        <f aca="false">IF(C1481="","",IFERROR(INDEX('Cadastro Mestre'!$C$5:$C$504,MATCH(C1481,'Cadastro Mestre'!$A$5:$A$504,0)),"código não encontrado"))</f>
        <v/>
      </c>
      <c r="E1481" s="24" t="str">
        <f aca="false">IF(C1481="","",IFERROR(INDEX('Cadastro Mestre'!$Q$5:$Q$504,MATCH(C1481,'Cadastro Mestre'!$A$5:$A$504,0)),""))</f>
        <v/>
      </c>
      <c r="F1481" s="21"/>
      <c r="G1481" s="21"/>
      <c r="H1481" s="21"/>
      <c r="I1481" s="21"/>
    </row>
    <row r="1482" customFormat="false" ht="15" hidden="false" customHeight="false" outlineLevel="0" collapsed="false">
      <c r="A1482" s="25"/>
      <c r="B1482" s="21"/>
      <c r="C1482" s="21"/>
      <c r="D1482" s="26" t="str">
        <f aca="false">IF(C1482="","",IFERROR(INDEX('Cadastro Mestre'!$C$5:$C$504,MATCH(C1482,'Cadastro Mestre'!$A$5:$A$504,0)),"código não encontrado"))</f>
        <v/>
      </c>
      <c r="E1482" s="24" t="str">
        <f aca="false">IF(C1482="","",IFERROR(INDEX('Cadastro Mestre'!$Q$5:$Q$504,MATCH(C1482,'Cadastro Mestre'!$A$5:$A$504,0)),""))</f>
        <v/>
      </c>
      <c r="F1482" s="21"/>
      <c r="G1482" s="21"/>
      <c r="H1482" s="21"/>
      <c r="I1482" s="21"/>
    </row>
    <row r="1483" customFormat="false" ht="15" hidden="false" customHeight="false" outlineLevel="0" collapsed="false">
      <c r="A1483" s="25"/>
      <c r="B1483" s="21"/>
      <c r="C1483" s="21"/>
      <c r="D1483" s="26" t="str">
        <f aca="false">IF(C1483="","",IFERROR(INDEX('Cadastro Mestre'!$C$5:$C$504,MATCH(C1483,'Cadastro Mestre'!$A$5:$A$504,0)),"código não encontrado"))</f>
        <v/>
      </c>
      <c r="E1483" s="24" t="str">
        <f aca="false">IF(C1483="","",IFERROR(INDEX('Cadastro Mestre'!$Q$5:$Q$504,MATCH(C1483,'Cadastro Mestre'!$A$5:$A$504,0)),""))</f>
        <v/>
      </c>
      <c r="F1483" s="21"/>
      <c r="G1483" s="21"/>
      <c r="H1483" s="21"/>
      <c r="I1483" s="21"/>
    </row>
    <row r="1484" customFormat="false" ht="15" hidden="false" customHeight="false" outlineLevel="0" collapsed="false">
      <c r="A1484" s="25"/>
      <c r="B1484" s="21"/>
      <c r="C1484" s="21"/>
      <c r="D1484" s="26" t="str">
        <f aca="false">IF(C1484="","",IFERROR(INDEX('Cadastro Mestre'!$C$5:$C$504,MATCH(C1484,'Cadastro Mestre'!$A$5:$A$504,0)),"código não encontrado"))</f>
        <v/>
      </c>
      <c r="E1484" s="24" t="str">
        <f aca="false">IF(C1484="","",IFERROR(INDEX('Cadastro Mestre'!$Q$5:$Q$504,MATCH(C1484,'Cadastro Mestre'!$A$5:$A$504,0)),""))</f>
        <v/>
      </c>
      <c r="F1484" s="21"/>
      <c r="G1484" s="21"/>
      <c r="H1484" s="21"/>
      <c r="I1484" s="21"/>
    </row>
    <row r="1485" customFormat="false" ht="15" hidden="false" customHeight="false" outlineLevel="0" collapsed="false">
      <c r="A1485" s="25"/>
      <c r="B1485" s="21"/>
      <c r="C1485" s="21"/>
      <c r="D1485" s="26" t="str">
        <f aca="false">IF(C1485="","",IFERROR(INDEX('Cadastro Mestre'!$C$5:$C$504,MATCH(C1485,'Cadastro Mestre'!$A$5:$A$504,0)),"código não encontrado"))</f>
        <v/>
      </c>
      <c r="E1485" s="24" t="str">
        <f aca="false">IF(C1485="","",IFERROR(INDEX('Cadastro Mestre'!$Q$5:$Q$504,MATCH(C1485,'Cadastro Mestre'!$A$5:$A$504,0)),""))</f>
        <v/>
      </c>
      <c r="F1485" s="21"/>
      <c r="G1485" s="21"/>
      <c r="H1485" s="21"/>
      <c r="I1485" s="21"/>
    </row>
    <row r="1486" customFormat="false" ht="15" hidden="false" customHeight="false" outlineLevel="0" collapsed="false">
      <c r="A1486" s="25"/>
      <c r="B1486" s="21"/>
      <c r="C1486" s="21"/>
      <c r="D1486" s="26" t="str">
        <f aca="false">IF(C1486="","",IFERROR(INDEX('Cadastro Mestre'!$C$5:$C$504,MATCH(C1486,'Cadastro Mestre'!$A$5:$A$504,0)),"código não encontrado"))</f>
        <v/>
      </c>
      <c r="E1486" s="24" t="str">
        <f aca="false">IF(C1486="","",IFERROR(INDEX('Cadastro Mestre'!$Q$5:$Q$504,MATCH(C1486,'Cadastro Mestre'!$A$5:$A$504,0)),""))</f>
        <v/>
      </c>
      <c r="F1486" s="21"/>
      <c r="G1486" s="21"/>
      <c r="H1486" s="21"/>
      <c r="I1486" s="21"/>
    </row>
    <row r="1487" customFormat="false" ht="15" hidden="false" customHeight="false" outlineLevel="0" collapsed="false">
      <c r="A1487" s="25"/>
      <c r="B1487" s="21"/>
      <c r="C1487" s="21"/>
      <c r="D1487" s="26" t="str">
        <f aca="false">IF(C1487="","",IFERROR(INDEX('Cadastro Mestre'!$C$5:$C$504,MATCH(C1487,'Cadastro Mestre'!$A$5:$A$504,0)),"código não encontrado"))</f>
        <v/>
      </c>
      <c r="E1487" s="24" t="str">
        <f aca="false">IF(C1487="","",IFERROR(INDEX('Cadastro Mestre'!$Q$5:$Q$504,MATCH(C1487,'Cadastro Mestre'!$A$5:$A$504,0)),""))</f>
        <v/>
      </c>
      <c r="F1487" s="21"/>
      <c r="G1487" s="21"/>
      <c r="H1487" s="21"/>
      <c r="I1487" s="21"/>
    </row>
    <row r="1488" customFormat="false" ht="15" hidden="false" customHeight="false" outlineLevel="0" collapsed="false">
      <c r="A1488" s="25"/>
      <c r="B1488" s="21"/>
      <c r="C1488" s="21"/>
      <c r="D1488" s="26" t="str">
        <f aca="false">IF(C1488="","",IFERROR(INDEX('Cadastro Mestre'!$C$5:$C$504,MATCH(C1488,'Cadastro Mestre'!$A$5:$A$504,0)),"código não encontrado"))</f>
        <v/>
      </c>
      <c r="E1488" s="24" t="str">
        <f aca="false">IF(C1488="","",IFERROR(INDEX('Cadastro Mestre'!$Q$5:$Q$504,MATCH(C1488,'Cadastro Mestre'!$A$5:$A$504,0)),""))</f>
        <v/>
      </c>
      <c r="F1488" s="21"/>
      <c r="G1488" s="21"/>
      <c r="H1488" s="21"/>
      <c r="I1488" s="21"/>
    </row>
    <row r="1489" customFormat="false" ht="15" hidden="false" customHeight="false" outlineLevel="0" collapsed="false">
      <c r="A1489" s="25"/>
      <c r="B1489" s="21"/>
      <c r="C1489" s="21"/>
      <c r="D1489" s="26" t="str">
        <f aca="false">IF(C1489="","",IFERROR(INDEX('Cadastro Mestre'!$C$5:$C$504,MATCH(C1489,'Cadastro Mestre'!$A$5:$A$504,0)),"código não encontrado"))</f>
        <v/>
      </c>
      <c r="E1489" s="24" t="str">
        <f aca="false">IF(C1489="","",IFERROR(INDEX('Cadastro Mestre'!$Q$5:$Q$504,MATCH(C1489,'Cadastro Mestre'!$A$5:$A$504,0)),""))</f>
        <v/>
      </c>
      <c r="F1489" s="21"/>
      <c r="G1489" s="21"/>
      <c r="H1489" s="21"/>
      <c r="I1489" s="21"/>
    </row>
    <row r="1490" customFormat="false" ht="15" hidden="false" customHeight="false" outlineLevel="0" collapsed="false">
      <c r="A1490" s="25"/>
      <c r="B1490" s="21"/>
      <c r="C1490" s="21"/>
      <c r="D1490" s="26" t="str">
        <f aca="false">IF(C1490="","",IFERROR(INDEX('Cadastro Mestre'!$C$5:$C$504,MATCH(C1490,'Cadastro Mestre'!$A$5:$A$504,0)),"código não encontrado"))</f>
        <v/>
      </c>
      <c r="E1490" s="24" t="str">
        <f aca="false">IF(C1490="","",IFERROR(INDEX('Cadastro Mestre'!$Q$5:$Q$504,MATCH(C1490,'Cadastro Mestre'!$A$5:$A$504,0)),""))</f>
        <v/>
      </c>
      <c r="F1490" s="21"/>
      <c r="G1490" s="21"/>
      <c r="H1490" s="21"/>
      <c r="I1490" s="21"/>
    </row>
    <row r="1491" customFormat="false" ht="15" hidden="false" customHeight="false" outlineLevel="0" collapsed="false">
      <c r="A1491" s="25"/>
      <c r="B1491" s="21"/>
      <c r="C1491" s="21"/>
      <c r="D1491" s="26" t="str">
        <f aca="false">IF(C1491="","",IFERROR(INDEX('Cadastro Mestre'!$C$5:$C$504,MATCH(C1491,'Cadastro Mestre'!$A$5:$A$504,0)),"código não encontrado"))</f>
        <v/>
      </c>
      <c r="E1491" s="24" t="str">
        <f aca="false">IF(C1491="","",IFERROR(INDEX('Cadastro Mestre'!$Q$5:$Q$504,MATCH(C1491,'Cadastro Mestre'!$A$5:$A$504,0)),""))</f>
        <v/>
      </c>
      <c r="F1491" s="21"/>
      <c r="G1491" s="21"/>
      <c r="H1491" s="21"/>
      <c r="I1491" s="21"/>
    </row>
    <row r="1492" customFormat="false" ht="15" hidden="false" customHeight="false" outlineLevel="0" collapsed="false">
      <c r="A1492" s="25"/>
      <c r="B1492" s="21"/>
      <c r="C1492" s="21"/>
      <c r="D1492" s="26" t="str">
        <f aca="false">IF(C1492="","",IFERROR(INDEX('Cadastro Mestre'!$C$5:$C$504,MATCH(C1492,'Cadastro Mestre'!$A$5:$A$504,0)),"código não encontrado"))</f>
        <v/>
      </c>
      <c r="E1492" s="24" t="str">
        <f aca="false">IF(C1492="","",IFERROR(INDEX('Cadastro Mestre'!$Q$5:$Q$504,MATCH(C1492,'Cadastro Mestre'!$A$5:$A$504,0)),""))</f>
        <v/>
      </c>
      <c r="F1492" s="21"/>
      <c r="G1492" s="21"/>
      <c r="H1492" s="21"/>
      <c r="I1492" s="21"/>
    </row>
    <row r="1493" customFormat="false" ht="15" hidden="false" customHeight="false" outlineLevel="0" collapsed="false">
      <c r="A1493" s="25"/>
      <c r="B1493" s="21"/>
      <c r="C1493" s="21"/>
      <c r="D1493" s="26" t="str">
        <f aca="false">IF(C1493="","",IFERROR(INDEX('Cadastro Mestre'!$C$5:$C$504,MATCH(C1493,'Cadastro Mestre'!$A$5:$A$504,0)),"código não encontrado"))</f>
        <v/>
      </c>
      <c r="E1493" s="24" t="str">
        <f aca="false">IF(C1493="","",IFERROR(INDEX('Cadastro Mestre'!$Q$5:$Q$504,MATCH(C1493,'Cadastro Mestre'!$A$5:$A$504,0)),""))</f>
        <v/>
      </c>
      <c r="F1493" s="21"/>
      <c r="G1493" s="21"/>
      <c r="H1493" s="21"/>
      <c r="I1493" s="21"/>
    </row>
    <row r="1494" customFormat="false" ht="15" hidden="false" customHeight="false" outlineLevel="0" collapsed="false">
      <c r="A1494" s="25"/>
      <c r="B1494" s="21"/>
      <c r="C1494" s="21"/>
      <c r="D1494" s="26" t="str">
        <f aca="false">IF(C1494="","",IFERROR(INDEX('Cadastro Mestre'!$C$5:$C$504,MATCH(C1494,'Cadastro Mestre'!$A$5:$A$504,0)),"código não encontrado"))</f>
        <v/>
      </c>
      <c r="E1494" s="24" t="str">
        <f aca="false">IF(C1494="","",IFERROR(INDEX('Cadastro Mestre'!$Q$5:$Q$504,MATCH(C1494,'Cadastro Mestre'!$A$5:$A$504,0)),""))</f>
        <v/>
      </c>
      <c r="F1494" s="21"/>
      <c r="G1494" s="21"/>
      <c r="H1494" s="21"/>
      <c r="I1494" s="21"/>
    </row>
    <row r="1495" customFormat="false" ht="15" hidden="false" customHeight="false" outlineLevel="0" collapsed="false">
      <c r="A1495" s="25"/>
      <c r="B1495" s="21"/>
      <c r="C1495" s="21"/>
      <c r="D1495" s="26" t="str">
        <f aca="false">IF(C1495="","",IFERROR(INDEX('Cadastro Mestre'!$C$5:$C$504,MATCH(C1495,'Cadastro Mestre'!$A$5:$A$504,0)),"código não encontrado"))</f>
        <v/>
      </c>
      <c r="E1495" s="24" t="str">
        <f aca="false">IF(C1495="","",IFERROR(INDEX('Cadastro Mestre'!$Q$5:$Q$504,MATCH(C1495,'Cadastro Mestre'!$A$5:$A$504,0)),""))</f>
        <v/>
      </c>
      <c r="F1495" s="21"/>
      <c r="G1495" s="21"/>
      <c r="H1495" s="21"/>
      <c r="I1495" s="21"/>
    </row>
    <row r="1496" customFormat="false" ht="15" hidden="false" customHeight="false" outlineLevel="0" collapsed="false">
      <c r="A1496" s="25"/>
      <c r="B1496" s="21"/>
      <c r="C1496" s="21"/>
      <c r="D1496" s="26" t="str">
        <f aca="false">IF(C1496="","",IFERROR(INDEX('Cadastro Mestre'!$C$5:$C$504,MATCH(C1496,'Cadastro Mestre'!$A$5:$A$504,0)),"código não encontrado"))</f>
        <v/>
      </c>
      <c r="E1496" s="24" t="str">
        <f aca="false">IF(C1496="","",IFERROR(INDEX('Cadastro Mestre'!$Q$5:$Q$504,MATCH(C1496,'Cadastro Mestre'!$A$5:$A$504,0)),""))</f>
        <v/>
      </c>
      <c r="F1496" s="21"/>
      <c r="G1496" s="21"/>
      <c r="H1496" s="21"/>
      <c r="I1496" s="21"/>
    </row>
    <row r="1497" customFormat="false" ht="15" hidden="false" customHeight="false" outlineLevel="0" collapsed="false">
      <c r="A1497" s="25"/>
      <c r="B1497" s="21"/>
      <c r="C1497" s="21"/>
      <c r="D1497" s="26" t="str">
        <f aca="false">IF(C1497="","",IFERROR(INDEX('Cadastro Mestre'!$C$5:$C$504,MATCH(C1497,'Cadastro Mestre'!$A$5:$A$504,0)),"código não encontrado"))</f>
        <v/>
      </c>
      <c r="E1497" s="24" t="str">
        <f aca="false">IF(C1497="","",IFERROR(INDEX('Cadastro Mestre'!$Q$5:$Q$504,MATCH(C1497,'Cadastro Mestre'!$A$5:$A$504,0)),""))</f>
        <v/>
      </c>
      <c r="F1497" s="21"/>
      <c r="G1497" s="21"/>
      <c r="H1497" s="21"/>
      <c r="I1497" s="21"/>
    </row>
    <row r="1498" customFormat="false" ht="15" hidden="false" customHeight="false" outlineLevel="0" collapsed="false">
      <c r="A1498" s="25"/>
      <c r="B1498" s="21"/>
      <c r="C1498" s="21"/>
      <c r="D1498" s="26" t="str">
        <f aca="false">IF(C1498="","",IFERROR(INDEX('Cadastro Mestre'!$C$5:$C$504,MATCH(C1498,'Cadastro Mestre'!$A$5:$A$504,0)),"código não encontrado"))</f>
        <v/>
      </c>
      <c r="E1498" s="24" t="str">
        <f aca="false">IF(C1498="","",IFERROR(INDEX('Cadastro Mestre'!$Q$5:$Q$504,MATCH(C1498,'Cadastro Mestre'!$A$5:$A$504,0)),""))</f>
        <v/>
      </c>
      <c r="F1498" s="21"/>
      <c r="G1498" s="21"/>
      <c r="H1498" s="21"/>
      <c r="I1498" s="21"/>
    </row>
    <row r="1499" customFormat="false" ht="15" hidden="false" customHeight="false" outlineLevel="0" collapsed="false">
      <c r="A1499" s="25"/>
      <c r="B1499" s="21"/>
      <c r="C1499" s="21"/>
      <c r="D1499" s="26" t="str">
        <f aca="false">IF(C1499="","",IFERROR(INDEX('Cadastro Mestre'!$C$5:$C$504,MATCH(C1499,'Cadastro Mestre'!$A$5:$A$504,0)),"código não encontrado"))</f>
        <v/>
      </c>
      <c r="E1499" s="24" t="str">
        <f aca="false">IF(C1499="","",IFERROR(INDEX('Cadastro Mestre'!$Q$5:$Q$504,MATCH(C1499,'Cadastro Mestre'!$A$5:$A$504,0)),""))</f>
        <v/>
      </c>
      <c r="F1499" s="21"/>
      <c r="G1499" s="21"/>
      <c r="H1499" s="21"/>
      <c r="I1499" s="21"/>
    </row>
    <row r="1500" customFormat="false" ht="15" hidden="false" customHeight="false" outlineLevel="0" collapsed="false">
      <c r="A1500" s="25"/>
      <c r="B1500" s="21"/>
      <c r="C1500" s="21"/>
      <c r="D1500" s="26" t="str">
        <f aca="false">IF(C1500="","",IFERROR(INDEX('Cadastro Mestre'!$C$5:$C$504,MATCH(C1500,'Cadastro Mestre'!$A$5:$A$504,0)),"código não encontrado"))</f>
        <v/>
      </c>
      <c r="E1500" s="24" t="str">
        <f aca="false">IF(C1500="","",IFERROR(INDEX('Cadastro Mestre'!$Q$5:$Q$504,MATCH(C1500,'Cadastro Mestre'!$A$5:$A$504,0)),""))</f>
        <v/>
      </c>
      <c r="F1500" s="21"/>
      <c r="G1500" s="21"/>
      <c r="H1500" s="21"/>
      <c r="I1500" s="21"/>
    </row>
    <row r="1501" customFormat="false" ht="15" hidden="false" customHeight="false" outlineLevel="0" collapsed="false">
      <c r="A1501" s="25"/>
      <c r="B1501" s="21"/>
      <c r="C1501" s="21"/>
      <c r="D1501" s="26" t="str">
        <f aca="false">IF(C1501="","",IFERROR(INDEX('Cadastro Mestre'!$C$5:$C$504,MATCH(C1501,'Cadastro Mestre'!$A$5:$A$504,0)),"código não encontrado"))</f>
        <v/>
      </c>
      <c r="E1501" s="24" t="str">
        <f aca="false">IF(C1501="","",IFERROR(INDEX('Cadastro Mestre'!$Q$5:$Q$504,MATCH(C1501,'Cadastro Mestre'!$A$5:$A$504,0)),""))</f>
        <v/>
      </c>
      <c r="F1501" s="21"/>
      <c r="G1501" s="21"/>
      <c r="H1501" s="21"/>
      <c r="I1501" s="21"/>
    </row>
    <row r="1502" customFormat="false" ht="15" hidden="false" customHeight="false" outlineLevel="0" collapsed="false">
      <c r="A1502" s="25"/>
      <c r="B1502" s="21"/>
      <c r="C1502" s="21"/>
      <c r="D1502" s="26" t="str">
        <f aca="false">IF(C1502="","",IFERROR(INDEX('Cadastro Mestre'!$C$5:$C$504,MATCH(C1502,'Cadastro Mestre'!$A$5:$A$504,0)),"código não encontrado"))</f>
        <v/>
      </c>
      <c r="E1502" s="24" t="str">
        <f aca="false">IF(C1502="","",IFERROR(INDEX('Cadastro Mestre'!$Q$5:$Q$504,MATCH(C1502,'Cadastro Mestre'!$A$5:$A$504,0)),""))</f>
        <v/>
      </c>
      <c r="F1502" s="21"/>
      <c r="G1502" s="21"/>
      <c r="H1502" s="21"/>
      <c r="I1502" s="21"/>
    </row>
    <row r="1503" customFormat="false" ht="15" hidden="false" customHeight="false" outlineLevel="0" collapsed="false">
      <c r="A1503" s="25"/>
      <c r="B1503" s="21"/>
      <c r="C1503" s="21"/>
      <c r="D1503" s="26" t="str">
        <f aca="false">IF(C1503="","",IFERROR(INDEX('Cadastro Mestre'!$C$5:$C$504,MATCH(C1503,'Cadastro Mestre'!$A$5:$A$504,0)),"código não encontrado"))</f>
        <v/>
      </c>
      <c r="E1503" s="24" t="str">
        <f aca="false">IF(C1503="","",IFERROR(INDEX('Cadastro Mestre'!$Q$5:$Q$504,MATCH(C1503,'Cadastro Mestre'!$A$5:$A$504,0)),""))</f>
        <v/>
      </c>
      <c r="F1503" s="21"/>
      <c r="G1503" s="21"/>
      <c r="H1503" s="21"/>
      <c r="I1503" s="21"/>
    </row>
    <row r="1504" customFormat="false" ht="15" hidden="false" customHeight="false" outlineLevel="0" collapsed="false">
      <c r="A1504" s="25"/>
      <c r="B1504" s="21"/>
      <c r="C1504" s="21"/>
      <c r="D1504" s="26" t="str">
        <f aca="false">IF(C1504="","",IFERROR(INDEX('Cadastro Mestre'!$C$5:$C$504,MATCH(C1504,'Cadastro Mestre'!$A$5:$A$504,0)),"código não encontrado"))</f>
        <v/>
      </c>
      <c r="E1504" s="24" t="str">
        <f aca="false">IF(C1504="","",IFERROR(INDEX('Cadastro Mestre'!$Q$5:$Q$504,MATCH(C1504,'Cadastro Mestre'!$A$5:$A$504,0)),""))</f>
        <v/>
      </c>
      <c r="F1504" s="21"/>
      <c r="G1504" s="21"/>
      <c r="H1504" s="21"/>
      <c r="I1504" s="21"/>
    </row>
    <row r="1505" customFormat="false" ht="15" hidden="false" customHeight="false" outlineLevel="0" collapsed="false">
      <c r="A1505" s="25"/>
      <c r="B1505" s="21"/>
      <c r="C1505" s="21"/>
      <c r="D1505" s="26" t="str">
        <f aca="false">IF(C1505="","",IFERROR(INDEX('Cadastro Mestre'!$C$5:$C$504,MATCH(C1505,'Cadastro Mestre'!$A$5:$A$504,0)),"código não encontrado"))</f>
        <v/>
      </c>
      <c r="E1505" s="24" t="str">
        <f aca="false">IF(C1505="","",IFERROR(INDEX('Cadastro Mestre'!$Q$5:$Q$504,MATCH(C1505,'Cadastro Mestre'!$A$5:$A$504,0)),""))</f>
        <v/>
      </c>
      <c r="F1505" s="21"/>
      <c r="G1505" s="21"/>
      <c r="H1505" s="21"/>
      <c r="I1505" s="21"/>
    </row>
    <row r="1506" customFormat="false" ht="15" hidden="false" customHeight="false" outlineLevel="0" collapsed="false">
      <c r="A1506" s="25"/>
      <c r="B1506" s="21"/>
      <c r="C1506" s="21"/>
      <c r="D1506" s="26" t="str">
        <f aca="false">IF(C1506="","",IFERROR(INDEX('Cadastro Mestre'!$C$5:$C$504,MATCH(C1506,'Cadastro Mestre'!$A$5:$A$504,0)),"código não encontrado"))</f>
        <v/>
      </c>
      <c r="E1506" s="24" t="str">
        <f aca="false">IF(C1506="","",IFERROR(INDEX('Cadastro Mestre'!$Q$5:$Q$504,MATCH(C1506,'Cadastro Mestre'!$A$5:$A$504,0)),""))</f>
        <v/>
      </c>
      <c r="F1506" s="21"/>
      <c r="G1506" s="21"/>
      <c r="H1506" s="21"/>
      <c r="I1506" s="21"/>
    </row>
    <row r="1507" customFormat="false" ht="15" hidden="false" customHeight="false" outlineLevel="0" collapsed="false">
      <c r="A1507" s="25"/>
      <c r="B1507" s="21"/>
      <c r="C1507" s="21"/>
      <c r="D1507" s="26" t="str">
        <f aca="false">IF(C1507="","",IFERROR(INDEX('Cadastro Mestre'!$C$5:$C$504,MATCH(C1507,'Cadastro Mestre'!$A$5:$A$504,0)),"código não encontrado"))</f>
        <v/>
      </c>
      <c r="E1507" s="24" t="str">
        <f aca="false">IF(C1507="","",IFERROR(INDEX('Cadastro Mestre'!$Q$5:$Q$504,MATCH(C1507,'Cadastro Mestre'!$A$5:$A$504,0)),""))</f>
        <v/>
      </c>
      <c r="F1507" s="21"/>
      <c r="G1507" s="21"/>
      <c r="H1507" s="21"/>
      <c r="I1507" s="21"/>
    </row>
    <row r="1508" customFormat="false" ht="15" hidden="false" customHeight="false" outlineLevel="0" collapsed="false">
      <c r="A1508" s="25"/>
      <c r="B1508" s="21"/>
      <c r="C1508" s="21"/>
      <c r="D1508" s="26" t="str">
        <f aca="false">IF(C1508="","",IFERROR(INDEX('Cadastro Mestre'!$C$5:$C$504,MATCH(C1508,'Cadastro Mestre'!$A$5:$A$504,0)),"código não encontrado"))</f>
        <v/>
      </c>
      <c r="E1508" s="24" t="str">
        <f aca="false">IF(C1508="","",IFERROR(INDEX('Cadastro Mestre'!$Q$5:$Q$504,MATCH(C1508,'Cadastro Mestre'!$A$5:$A$504,0)),""))</f>
        <v/>
      </c>
      <c r="F1508" s="21"/>
      <c r="G1508" s="21"/>
      <c r="H1508" s="21"/>
      <c r="I1508" s="21"/>
    </row>
    <row r="1509" customFormat="false" ht="15" hidden="false" customHeight="false" outlineLevel="0" collapsed="false">
      <c r="A1509" s="25"/>
      <c r="B1509" s="21"/>
      <c r="C1509" s="21"/>
      <c r="D1509" s="26" t="str">
        <f aca="false">IF(C1509="","",IFERROR(INDEX('Cadastro Mestre'!$C$5:$C$504,MATCH(C1509,'Cadastro Mestre'!$A$5:$A$504,0)),"código não encontrado"))</f>
        <v/>
      </c>
      <c r="E1509" s="24" t="str">
        <f aca="false">IF(C1509="","",IFERROR(INDEX('Cadastro Mestre'!$Q$5:$Q$504,MATCH(C1509,'Cadastro Mestre'!$A$5:$A$504,0)),""))</f>
        <v/>
      </c>
      <c r="F1509" s="21"/>
      <c r="G1509" s="21"/>
      <c r="H1509" s="21"/>
      <c r="I1509" s="21"/>
    </row>
    <row r="1510" customFormat="false" ht="15" hidden="false" customHeight="false" outlineLevel="0" collapsed="false">
      <c r="A1510" s="25"/>
      <c r="B1510" s="21"/>
      <c r="C1510" s="21"/>
      <c r="D1510" s="26" t="str">
        <f aca="false">IF(C1510="","",IFERROR(INDEX('Cadastro Mestre'!$C$5:$C$504,MATCH(C1510,'Cadastro Mestre'!$A$5:$A$504,0)),"código não encontrado"))</f>
        <v/>
      </c>
      <c r="E1510" s="24" t="str">
        <f aca="false">IF(C1510="","",IFERROR(INDEX('Cadastro Mestre'!$Q$5:$Q$504,MATCH(C1510,'Cadastro Mestre'!$A$5:$A$504,0)),""))</f>
        <v/>
      </c>
      <c r="F1510" s="21"/>
      <c r="G1510" s="21"/>
      <c r="H1510" s="21"/>
      <c r="I1510" s="21"/>
    </row>
    <row r="1511" customFormat="false" ht="15" hidden="false" customHeight="false" outlineLevel="0" collapsed="false">
      <c r="A1511" s="25"/>
      <c r="B1511" s="21"/>
      <c r="C1511" s="21"/>
      <c r="D1511" s="26" t="str">
        <f aca="false">IF(C1511="","",IFERROR(INDEX('Cadastro Mestre'!$C$5:$C$504,MATCH(C1511,'Cadastro Mestre'!$A$5:$A$504,0)),"código não encontrado"))</f>
        <v/>
      </c>
      <c r="E1511" s="24" t="str">
        <f aca="false">IF(C1511="","",IFERROR(INDEX('Cadastro Mestre'!$Q$5:$Q$504,MATCH(C1511,'Cadastro Mestre'!$A$5:$A$504,0)),""))</f>
        <v/>
      </c>
      <c r="F1511" s="21"/>
      <c r="G1511" s="21"/>
      <c r="H1511" s="21"/>
      <c r="I1511" s="21"/>
    </row>
    <row r="1512" customFormat="false" ht="15" hidden="false" customHeight="false" outlineLevel="0" collapsed="false">
      <c r="A1512" s="25"/>
      <c r="B1512" s="21"/>
      <c r="C1512" s="21"/>
      <c r="D1512" s="26" t="str">
        <f aca="false">IF(C1512="","",IFERROR(INDEX('Cadastro Mestre'!$C$5:$C$504,MATCH(C1512,'Cadastro Mestre'!$A$5:$A$504,0)),"código não encontrado"))</f>
        <v/>
      </c>
      <c r="E1512" s="24" t="str">
        <f aca="false">IF(C1512="","",IFERROR(INDEX('Cadastro Mestre'!$Q$5:$Q$504,MATCH(C1512,'Cadastro Mestre'!$A$5:$A$504,0)),""))</f>
        <v/>
      </c>
      <c r="F1512" s="21"/>
      <c r="G1512" s="21"/>
      <c r="H1512" s="21"/>
      <c r="I1512" s="21"/>
    </row>
    <row r="1513" customFormat="false" ht="15" hidden="false" customHeight="false" outlineLevel="0" collapsed="false">
      <c r="A1513" s="25"/>
      <c r="B1513" s="21"/>
      <c r="C1513" s="21"/>
      <c r="D1513" s="26" t="str">
        <f aca="false">IF(C1513="","",IFERROR(INDEX('Cadastro Mestre'!$C$5:$C$504,MATCH(C1513,'Cadastro Mestre'!$A$5:$A$504,0)),"código não encontrado"))</f>
        <v/>
      </c>
      <c r="E1513" s="24" t="str">
        <f aca="false">IF(C1513="","",IFERROR(INDEX('Cadastro Mestre'!$Q$5:$Q$504,MATCH(C1513,'Cadastro Mestre'!$A$5:$A$504,0)),""))</f>
        <v/>
      </c>
      <c r="F1513" s="21"/>
      <c r="G1513" s="21"/>
      <c r="H1513" s="21"/>
      <c r="I1513" s="21"/>
    </row>
    <row r="1514" customFormat="false" ht="15" hidden="false" customHeight="false" outlineLevel="0" collapsed="false">
      <c r="A1514" s="25"/>
      <c r="B1514" s="21"/>
      <c r="C1514" s="21"/>
      <c r="D1514" s="26" t="str">
        <f aca="false">IF(C1514="","",IFERROR(INDEX('Cadastro Mestre'!$C$5:$C$504,MATCH(C1514,'Cadastro Mestre'!$A$5:$A$504,0)),"código não encontrado"))</f>
        <v/>
      </c>
      <c r="E1514" s="24" t="str">
        <f aca="false">IF(C1514="","",IFERROR(INDEX('Cadastro Mestre'!$Q$5:$Q$504,MATCH(C1514,'Cadastro Mestre'!$A$5:$A$504,0)),""))</f>
        <v/>
      </c>
      <c r="F1514" s="21"/>
      <c r="G1514" s="21"/>
      <c r="H1514" s="21"/>
      <c r="I1514" s="21"/>
    </row>
    <row r="1515" customFormat="false" ht="15" hidden="false" customHeight="false" outlineLevel="0" collapsed="false">
      <c r="A1515" s="25"/>
      <c r="B1515" s="21"/>
      <c r="C1515" s="21"/>
      <c r="D1515" s="26" t="str">
        <f aca="false">IF(C1515="","",IFERROR(INDEX('Cadastro Mestre'!$C$5:$C$504,MATCH(C1515,'Cadastro Mestre'!$A$5:$A$504,0)),"código não encontrado"))</f>
        <v/>
      </c>
      <c r="E1515" s="24" t="str">
        <f aca="false">IF(C1515="","",IFERROR(INDEX('Cadastro Mestre'!$Q$5:$Q$504,MATCH(C1515,'Cadastro Mestre'!$A$5:$A$504,0)),""))</f>
        <v/>
      </c>
      <c r="F1515" s="21"/>
      <c r="G1515" s="21"/>
      <c r="H1515" s="21"/>
      <c r="I1515" s="21"/>
    </row>
    <row r="1516" customFormat="false" ht="15" hidden="false" customHeight="false" outlineLevel="0" collapsed="false">
      <c r="A1516" s="25"/>
      <c r="B1516" s="21"/>
      <c r="C1516" s="21"/>
      <c r="D1516" s="26" t="str">
        <f aca="false">IF(C1516="","",IFERROR(INDEX('Cadastro Mestre'!$C$5:$C$504,MATCH(C1516,'Cadastro Mestre'!$A$5:$A$504,0)),"código não encontrado"))</f>
        <v/>
      </c>
      <c r="E1516" s="24" t="str">
        <f aca="false">IF(C1516="","",IFERROR(INDEX('Cadastro Mestre'!$Q$5:$Q$504,MATCH(C1516,'Cadastro Mestre'!$A$5:$A$504,0)),""))</f>
        <v/>
      </c>
      <c r="F1516" s="21"/>
      <c r="G1516" s="21"/>
      <c r="H1516" s="21"/>
      <c r="I1516" s="21"/>
    </row>
    <row r="1517" customFormat="false" ht="15" hidden="false" customHeight="false" outlineLevel="0" collapsed="false">
      <c r="A1517" s="25"/>
      <c r="B1517" s="21"/>
      <c r="C1517" s="21"/>
      <c r="D1517" s="26" t="str">
        <f aca="false">IF(C1517="","",IFERROR(INDEX('Cadastro Mestre'!$C$5:$C$504,MATCH(C1517,'Cadastro Mestre'!$A$5:$A$504,0)),"código não encontrado"))</f>
        <v/>
      </c>
      <c r="E1517" s="24" t="str">
        <f aca="false">IF(C1517="","",IFERROR(INDEX('Cadastro Mestre'!$Q$5:$Q$504,MATCH(C1517,'Cadastro Mestre'!$A$5:$A$504,0)),""))</f>
        <v/>
      </c>
      <c r="F1517" s="21"/>
      <c r="G1517" s="21"/>
      <c r="H1517" s="21"/>
      <c r="I1517" s="21"/>
    </row>
    <row r="1518" customFormat="false" ht="15" hidden="false" customHeight="false" outlineLevel="0" collapsed="false">
      <c r="A1518" s="25"/>
      <c r="B1518" s="21"/>
      <c r="C1518" s="21"/>
      <c r="D1518" s="26" t="str">
        <f aca="false">IF(C1518="","",IFERROR(INDEX('Cadastro Mestre'!$C$5:$C$504,MATCH(C1518,'Cadastro Mestre'!$A$5:$A$504,0)),"código não encontrado"))</f>
        <v/>
      </c>
      <c r="E1518" s="24" t="str">
        <f aca="false">IF(C1518="","",IFERROR(INDEX('Cadastro Mestre'!$Q$5:$Q$504,MATCH(C1518,'Cadastro Mestre'!$A$5:$A$504,0)),""))</f>
        <v/>
      </c>
      <c r="F1518" s="21"/>
      <c r="G1518" s="21"/>
      <c r="H1518" s="21"/>
      <c r="I1518" s="21"/>
    </row>
    <row r="1519" customFormat="false" ht="15" hidden="false" customHeight="false" outlineLevel="0" collapsed="false">
      <c r="A1519" s="25"/>
      <c r="B1519" s="21"/>
      <c r="C1519" s="21"/>
      <c r="D1519" s="26" t="str">
        <f aca="false">IF(C1519="","",IFERROR(INDEX('Cadastro Mestre'!$C$5:$C$504,MATCH(C1519,'Cadastro Mestre'!$A$5:$A$504,0)),"código não encontrado"))</f>
        <v/>
      </c>
      <c r="E1519" s="24" t="str">
        <f aca="false">IF(C1519="","",IFERROR(INDEX('Cadastro Mestre'!$Q$5:$Q$504,MATCH(C1519,'Cadastro Mestre'!$A$5:$A$504,0)),""))</f>
        <v/>
      </c>
      <c r="F1519" s="21"/>
      <c r="G1519" s="21"/>
      <c r="H1519" s="21"/>
      <c r="I1519" s="21"/>
    </row>
    <row r="1520" customFormat="false" ht="15" hidden="false" customHeight="false" outlineLevel="0" collapsed="false">
      <c r="A1520" s="25"/>
      <c r="B1520" s="21"/>
      <c r="C1520" s="21"/>
      <c r="D1520" s="26" t="str">
        <f aca="false">IF(C1520="","",IFERROR(INDEX('Cadastro Mestre'!$C$5:$C$504,MATCH(C1520,'Cadastro Mestre'!$A$5:$A$504,0)),"código não encontrado"))</f>
        <v/>
      </c>
      <c r="E1520" s="24" t="str">
        <f aca="false">IF(C1520="","",IFERROR(INDEX('Cadastro Mestre'!$Q$5:$Q$504,MATCH(C1520,'Cadastro Mestre'!$A$5:$A$504,0)),""))</f>
        <v/>
      </c>
      <c r="F1520" s="21"/>
      <c r="G1520" s="21"/>
      <c r="H1520" s="21"/>
      <c r="I1520" s="21"/>
    </row>
    <row r="1521" customFormat="false" ht="15" hidden="false" customHeight="false" outlineLevel="0" collapsed="false">
      <c r="A1521" s="25"/>
      <c r="B1521" s="21"/>
      <c r="C1521" s="21"/>
      <c r="D1521" s="26" t="str">
        <f aca="false">IF(C1521="","",IFERROR(INDEX('Cadastro Mestre'!$C$5:$C$504,MATCH(C1521,'Cadastro Mestre'!$A$5:$A$504,0)),"código não encontrado"))</f>
        <v/>
      </c>
      <c r="E1521" s="24" t="str">
        <f aca="false">IF(C1521="","",IFERROR(INDEX('Cadastro Mestre'!$Q$5:$Q$504,MATCH(C1521,'Cadastro Mestre'!$A$5:$A$504,0)),""))</f>
        <v/>
      </c>
      <c r="F1521" s="21"/>
      <c r="G1521" s="21"/>
      <c r="H1521" s="21"/>
      <c r="I1521" s="21"/>
    </row>
    <row r="1522" customFormat="false" ht="15" hidden="false" customHeight="false" outlineLevel="0" collapsed="false">
      <c r="A1522" s="25"/>
      <c r="B1522" s="21"/>
      <c r="C1522" s="21"/>
      <c r="D1522" s="26" t="str">
        <f aca="false">IF(C1522="","",IFERROR(INDEX('Cadastro Mestre'!$C$5:$C$504,MATCH(C1522,'Cadastro Mestre'!$A$5:$A$504,0)),"código não encontrado"))</f>
        <v/>
      </c>
      <c r="E1522" s="24" t="str">
        <f aca="false">IF(C1522="","",IFERROR(INDEX('Cadastro Mestre'!$Q$5:$Q$504,MATCH(C1522,'Cadastro Mestre'!$A$5:$A$504,0)),""))</f>
        <v/>
      </c>
      <c r="F1522" s="21"/>
      <c r="G1522" s="21"/>
      <c r="H1522" s="21"/>
      <c r="I1522" s="21"/>
    </row>
    <row r="1523" customFormat="false" ht="15" hidden="false" customHeight="false" outlineLevel="0" collapsed="false">
      <c r="A1523" s="25"/>
      <c r="B1523" s="21"/>
      <c r="C1523" s="21"/>
      <c r="D1523" s="26" t="str">
        <f aca="false">IF(C1523="","",IFERROR(INDEX('Cadastro Mestre'!$C$5:$C$504,MATCH(C1523,'Cadastro Mestre'!$A$5:$A$504,0)),"código não encontrado"))</f>
        <v/>
      </c>
      <c r="E1523" s="24" t="str">
        <f aca="false">IF(C1523="","",IFERROR(INDEX('Cadastro Mestre'!$Q$5:$Q$504,MATCH(C1523,'Cadastro Mestre'!$A$5:$A$504,0)),""))</f>
        <v/>
      </c>
      <c r="F1523" s="21"/>
      <c r="G1523" s="21"/>
      <c r="H1523" s="21"/>
      <c r="I1523" s="21"/>
    </row>
    <row r="1524" customFormat="false" ht="15" hidden="false" customHeight="false" outlineLevel="0" collapsed="false">
      <c r="A1524" s="25"/>
      <c r="B1524" s="21"/>
      <c r="C1524" s="21"/>
      <c r="D1524" s="26" t="str">
        <f aca="false">IF(C1524="","",IFERROR(INDEX('Cadastro Mestre'!$C$5:$C$504,MATCH(C1524,'Cadastro Mestre'!$A$5:$A$504,0)),"código não encontrado"))</f>
        <v/>
      </c>
      <c r="E1524" s="24" t="str">
        <f aca="false">IF(C1524="","",IFERROR(INDEX('Cadastro Mestre'!$Q$5:$Q$504,MATCH(C1524,'Cadastro Mestre'!$A$5:$A$504,0)),""))</f>
        <v/>
      </c>
      <c r="F1524" s="21"/>
      <c r="G1524" s="21"/>
      <c r="H1524" s="21"/>
      <c r="I1524" s="21"/>
    </row>
    <row r="1525" customFormat="false" ht="15" hidden="false" customHeight="false" outlineLevel="0" collapsed="false">
      <c r="A1525" s="25"/>
      <c r="B1525" s="21"/>
      <c r="C1525" s="21"/>
      <c r="D1525" s="26" t="str">
        <f aca="false">IF(C1525="","",IFERROR(INDEX('Cadastro Mestre'!$C$5:$C$504,MATCH(C1525,'Cadastro Mestre'!$A$5:$A$504,0)),"código não encontrado"))</f>
        <v/>
      </c>
      <c r="E1525" s="24" t="str">
        <f aca="false">IF(C1525="","",IFERROR(INDEX('Cadastro Mestre'!$Q$5:$Q$504,MATCH(C1525,'Cadastro Mestre'!$A$5:$A$504,0)),""))</f>
        <v/>
      </c>
      <c r="F1525" s="21"/>
      <c r="G1525" s="21"/>
      <c r="H1525" s="21"/>
      <c r="I1525" s="21"/>
    </row>
    <row r="1526" customFormat="false" ht="15" hidden="false" customHeight="false" outlineLevel="0" collapsed="false">
      <c r="A1526" s="25"/>
      <c r="B1526" s="21"/>
      <c r="C1526" s="21"/>
      <c r="D1526" s="26" t="str">
        <f aca="false">IF(C1526="","",IFERROR(INDEX('Cadastro Mestre'!$C$5:$C$504,MATCH(C1526,'Cadastro Mestre'!$A$5:$A$504,0)),"código não encontrado"))</f>
        <v/>
      </c>
      <c r="E1526" s="24" t="str">
        <f aca="false">IF(C1526="","",IFERROR(INDEX('Cadastro Mestre'!$Q$5:$Q$504,MATCH(C1526,'Cadastro Mestre'!$A$5:$A$504,0)),""))</f>
        <v/>
      </c>
      <c r="F1526" s="21"/>
      <c r="G1526" s="21"/>
      <c r="H1526" s="21"/>
      <c r="I1526" s="21"/>
    </row>
    <row r="1527" customFormat="false" ht="15" hidden="false" customHeight="false" outlineLevel="0" collapsed="false">
      <c r="A1527" s="25"/>
      <c r="B1527" s="21"/>
      <c r="C1527" s="21"/>
      <c r="D1527" s="26" t="str">
        <f aca="false">IF(C1527="","",IFERROR(INDEX('Cadastro Mestre'!$C$5:$C$504,MATCH(C1527,'Cadastro Mestre'!$A$5:$A$504,0)),"código não encontrado"))</f>
        <v/>
      </c>
      <c r="E1527" s="24" t="str">
        <f aca="false">IF(C1527="","",IFERROR(INDEX('Cadastro Mestre'!$Q$5:$Q$504,MATCH(C1527,'Cadastro Mestre'!$A$5:$A$504,0)),""))</f>
        <v/>
      </c>
      <c r="F1527" s="21"/>
      <c r="G1527" s="21"/>
      <c r="H1527" s="21"/>
      <c r="I1527" s="21"/>
    </row>
    <row r="1528" customFormat="false" ht="15" hidden="false" customHeight="false" outlineLevel="0" collapsed="false">
      <c r="A1528" s="25"/>
      <c r="B1528" s="21"/>
      <c r="C1528" s="21"/>
      <c r="D1528" s="26" t="str">
        <f aca="false">IF(C1528="","",IFERROR(INDEX('Cadastro Mestre'!$C$5:$C$504,MATCH(C1528,'Cadastro Mestre'!$A$5:$A$504,0)),"código não encontrado"))</f>
        <v/>
      </c>
      <c r="E1528" s="24" t="str">
        <f aca="false">IF(C1528="","",IFERROR(INDEX('Cadastro Mestre'!$Q$5:$Q$504,MATCH(C1528,'Cadastro Mestre'!$A$5:$A$504,0)),""))</f>
        <v/>
      </c>
      <c r="F1528" s="21"/>
      <c r="G1528" s="21"/>
      <c r="H1528" s="21"/>
      <c r="I1528" s="21"/>
    </row>
    <row r="1529" customFormat="false" ht="15" hidden="false" customHeight="false" outlineLevel="0" collapsed="false">
      <c r="A1529" s="25"/>
      <c r="B1529" s="21"/>
      <c r="C1529" s="21"/>
      <c r="D1529" s="26" t="str">
        <f aca="false">IF(C1529="","",IFERROR(INDEX('Cadastro Mestre'!$C$5:$C$504,MATCH(C1529,'Cadastro Mestre'!$A$5:$A$504,0)),"código não encontrado"))</f>
        <v/>
      </c>
      <c r="E1529" s="24" t="str">
        <f aca="false">IF(C1529="","",IFERROR(INDEX('Cadastro Mestre'!$Q$5:$Q$504,MATCH(C1529,'Cadastro Mestre'!$A$5:$A$504,0)),""))</f>
        <v/>
      </c>
      <c r="F1529" s="21"/>
      <c r="G1529" s="21"/>
      <c r="H1529" s="21"/>
      <c r="I1529" s="21"/>
    </row>
    <row r="1530" customFormat="false" ht="15" hidden="false" customHeight="false" outlineLevel="0" collapsed="false">
      <c r="A1530" s="25"/>
      <c r="B1530" s="21"/>
      <c r="C1530" s="21"/>
      <c r="D1530" s="26" t="str">
        <f aca="false">IF(C1530="","",IFERROR(INDEX('Cadastro Mestre'!$C$5:$C$504,MATCH(C1530,'Cadastro Mestre'!$A$5:$A$504,0)),"código não encontrado"))</f>
        <v/>
      </c>
      <c r="E1530" s="24" t="str">
        <f aca="false">IF(C1530="","",IFERROR(INDEX('Cadastro Mestre'!$Q$5:$Q$504,MATCH(C1530,'Cadastro Mestre'!$A$5:$A$504,0)),""))</f>
        <v/>
      </c>
      <c r="F1530" s="21"/>
      <c r="G1530" s="21"/>
      <c r="H1530" s="21"/>
      <c r="I1530" s="21"/>
    </row>
    <row r="1531" customFormat="false" ht="15" hidden="false" customHeight="false" outlineLevel="0" collapsed="false">
      <c r="A1531" s="25"/>
      <c r="B1531" s="21"/>
      <c r="C1531" s="21"/>
      <c r="D1531" s="26" t="str">
        <f aca="false">IF(C1531="","",IFERROR(INDEX('Cadastro Mestre'!$C$5:$C$504,MATCH(C1531,'Cadastro Mestre'!$A$5:$A$504,0)),"código não encontrado"))</f>
        <v/>
      </c>
      <c r="E1531" s="24" t="str">
        <f aca="false">IF(C1531="","",IFERROR(INDEX('Cadastro Mestre'!$Q$5:$Q$504,MATCH(C1531,'Cadastro Mestre'!$A$5:$A$504,0)),""))</f>
        <v/>
      </c>
      <c r="F1531" s="21"/>
      <c r="G1531" s="21"/>
      <c r="H1531" s="21"/>
      <c r="I1531" s="21"/>
    </row>
    <row r="1532" customFormat="false" ht="15" hidden="false" customHeight="false" outlineLevel="0" collapsed="false">
      <c r="A1532" s="25"/>
      <c r="B1532" s="21"/>
      <c r="C1532" s="21"/>
      <c r="D1532" s="26" t="str">
        <f aca="false">IF(C1532="","",IFERROR(INDEX('Cadastro Mestre'!$C$5:$C$504,MATCH(C1532,'Cadastro Mestre'!$A$5:$A$504,0)),"código não encontrado"))</f>
        <v/>
      </c>
      <c r="E1532" s="24" t="str">
        <f aca="false">IF(C1532="","",IFERROR(INDEX('Cadastro Mestre'!$Q$5:$Q$504,MATCH(C1532,'Cadastro Mestre'!$A$5:$A$504,0)),""))</f>
        <v/>
      </c>
      <c r="F1532" s="21"/>
      <c r="G1532" s="21"/>
      <c r="H1532" s="21"/>
      <c r="I1532" s="21"/>
    </row>
    <row r="1533" customFormat="false" ht="15" hidden="false" customHeight="false" outlineLevel="0" collapsed="false">
      <c r="A1533" s="25"/>
      <c r="B1533" s="21"/>
      <c r="C1533" s="21"/>
      <c r="D1533" s="26" t="str">
        <f aca="false">IF(C1533="","",IFERROR(INDEX('Cadastro Mestre'!$C$5:$C$504,MATCH(C1533,'Cadastro Mestre'!$A$5:$A$504,0)),"código não encontrado"))</f>
        <v/>
      </c>
      <c r="E1533" s="24" t="str">
        <f aca="false">IF(C1533="","",IFERROR(INDEX('Cadastro Mestre'!$Q$5:$Q$504,MATCH(C1533,'Cadastro Mestre'!$A$5:$A$504,0)),""))</f>
        <v/>
      </c>
      <c r="F1533" s="21"/>
      <c r="G1533" s="21"/>
      <c r="H1533" s="21"/>
      <c r="I1533" s="21"/>
    </row>
    <row r="1534" customFormat="false" ht="15" hidden="false" customHeight="false" outlineLevel="0" collapsed="false">
      <c r="A1534" s="25"/>
      <c r="B1534" s="21"/>
      <c r="C1534" s="21"/>
      <c r="D1534" s="26" t="str">
        <f aca="false">IF(C1534="","",IFERROR(INDEX('Cadastro Mestre'!$C$5:$C$504,MATCH(C1534,'Cadastro Mestre'!$A$5:$A$504,0)),"código não encontrado"))</f>
        <v/>
      </c>
      <c r="E1534" s="24" t="str">
        <f aca="false">IF(C1534="","",IFERROR(INDEX('Cadastro Mestre'!$Q$5:$Q$504,MATCH(C1534,'Cadastro Mestre'!$A$5:$A$504,0)),""))</f>
        <v/>
      </c>
      <c r="F1534" s="21"/>
      <c r="G1534" s="21"/>
      <c r="H1534" s="21"/>
      <c r="I1534" s="21"/>
    </row>
    <row r="1535" customFormat="false" ht="15" hidden="false" customHeight="false" outlineLevel="0" collapsed="false">
      <c r="A1535" s="25"/>
      <c r="B1535" s="21"/>
      <c r="C1535" s="21"/>
      <c r="D1535" s="26" t="str">
        <f aca="false">IF(C1535="","",IFERROR(INDEX('Cadastro Mestre'!$C$5:$C$504,MATCH(C1535,'Cadastro Mestre'!$A$5:$A$504,0)),"código não encontrado"))</f>
        <v/>
      </c>
      <c r="E1535" s="24" t="str">
        <f aca="false">IF(C1535="","",IFERROR(INDEX('Cadastro Mestre'!$Q$5:$Q$504,MATCH(C1535,'Cadastro Mestre'!$A$5:$A$504,0)),""))</f>
        <v/>
      </c>
      <c r="F1535" s="21"/>
      <c r="G1535" s="21"/>
      <c r="H1535" s="21"/>
      <c r="I1535" s="21"/>
    </row>
    <row r="1536" customFormat="false" ht="15" hidden="false" customHeight="false" outlineLevel="0" collapsed="false">
      <c r="A1536" s="25"/>
      <c r="B1536" s="21"/>
      <c r="C1536" s="21"/>
      <c r="D1536" s="26" t="str">
        <f aca="false">IF(C1536="","",IFERROR(INDEX('Cadastro Mestre'!$C$5:$C$504,MATCH(C1536,'Cadastro Mestre'!$A$5:$A$504,0)),"código não encontrado"))</f>
        <v/>
      </c>
      <c r="E1536" s="24" t="str">
        <f aca="false">IF(C1536="","",IFERROR(INDEX('Cadastro Mestre'!$Q$5:$Q$504,MATCH(C1536,'Cadastro Mestre'!$A$5:$A$504,0)),""))</f>
        <v/>
      </c>
      <c r="F1536" s="21"/>
      <c r="G1536" s="21"/>
      <c r="H1536" s="21"/>
      <c r="I1536" s="21"/>
    </row>
    <row r="1537" customFormat="false" ht="15" hidden="false" customHeight="false" outlineLevel="0" collapsed="false">
      <c r="A1537" s="25"/>
      <c r="B1537" s="21"/>
      <c r="C1537" s="21"/>
      <c r="D1537" s="26" t="str">
        <f aca="false">IF(C1537="","",IFERROR(INDEX('Cadastro Mestre'!$C$5:$C$504,MATCH(C1537,'Cadastro Mestre'!$A$5:$A$504,0)),"código não encontrado"))</f>
        <v/>
      </c>
      <c r="E1537" s="24" t="str">
        <f aca="false">IF(C1537="","",IFERROR(INDEX('Cadastro Mestre'!$Q$5:$Q$504,MATCH(C1537,'Cadastro Mestre'!$A$5:$A$504,0)),""))</f>
        <v/>
      </c>
      <c r="F1537" s="21"/>
      <c r="G1537" s="21"/>
      <c r="H1537" s="21"/>
      <c r="I1537" s="21"/>
    </row>
    <row r="1538" customFormat="false" ht="15" hidden="false" customHeight="false" outlineLevel="0" collapsed="false">
      <c r="A1538" s="25"/>
      <c r="B1538" s="21"/>
      <c r="C1538" s="21"/>
      <c r="D1538" s="26" t="str">
        <f aca="false">IF(C1538="","",IFERROR(INDEX('Cadastro Mestre'!$C$5:$C$504,MATCH(C1538,'Cadastro Mestre'!$A$5:$A$504,0)),"código não encontrado"))</f>
        <v/>
      </c>
      <c r="E1538" s="24" t="str">
        <f aca="false">IF(C1538="","",IFERROR(INDEX('Cadastro Mestre'!$Q$5:$Q$504,MATCH(C1538,'Cadastro Mestre'!$A$5:$A$504,0)),""))</f>
        <v/>
      </c>
      <c r="F1538" s="21"/>
      <c r="G1538" s="21"/>
      <c r="H1538" s="21"/>
      <c r="I1538" s="21"/>
    </row>
    <row r="1539" customFormat="false" ht="15" hidden="false" customHeight="false" outlineLevel="0" collapsed="false">
      <c r="A1539" s="25"/>
      <c r="B1539" s="21"/>
      <c r="C1539" s="21"/>
      <c r="D1539" s="26" t="str">
        <f aca="false">IF(C1539="","",IFERROR(INDEX('Cadastro Mestre'!$C$5:$C$504,MATCH(C1539,'Cadastro Mestre'!$A$5:$A$504,0)),"código não encontrado"))</f>
        <v/>
      </c>
      <c r="E1539" s="24" t="str">
        <f aca="false">IF(C1539="","",IFERROR(INDEX('Cadastro Mestre'!$Q$5:$Q$504,MATCH(C1539,'Cadastro Mestre'!$A$5:$A$504,0)),""))</f>
        <v/>
      </c>
      <c r="F1539" s="21"/>
      <c r="G1539" s="21"/>
      <c r="H1539" s="21"/>
      <c r="I1539" s="21"/>
    </row>
    <row r="1540" customFormat="false" ht="15" hidden="false" customHeight="false" outlineLevel="0" collapsed="false">
      <c r="A1540" s="25"/>
      <c r="B1540" s="21"/>
      <c r="C1540" s="21"/>
      <c r="D1540" s="26" t="str">
        <f aca="false">IF(C1540="","",IFERROR(INDEX('Cadastro Mestre'!$C$5:$C$504,MATCH(C1540,'Cadastro Mestre'!$A$5:$A$504,0)),"código não encontrado"))</f>
        <v/>
      </c>
      <c r="E1540" s="24" t="str">
        <f aca="false">IF(C1540="","",IFERROR(INDEX('Cadastro Mestre'!$Q$5:$Q$504,MATCH(C1540,'Cadastro Mestre'!$A$5:$A$504,0)),""))</f>
        <v/>
      </c>
      <c r="F1540" s="21"/>
      <c r="G1540" s="21"/>
      <c r="H1540" s="21"/>
      <c r="I1540" s="21"/>
    </row>
    <row r="1541" customFormat="false" ht="15" hidden="false" customHeight="false" outlineLevel="0" collapsed="false">
      <c r="A1541" s="25"/>
      <c r="B1541" s="21"/>
      <c r="C1541" s="21"/>
      <c r="D1541" s="26" t="str">
        <f aca="false">IF(C1541="","",IFERROR(INDEX('Cadastro Mestre'!$C$5:$C$504,MATCH(C1541,'Cadastro Mestre'!$A$5:$A$504,0)),"código não encontrado"))</f>
        <v/>
      </c>
      <c r="E1541" s="24" t="str">
        <f aca="false">IF(C1541="","",IFERROR(INDEX('Cadastro Mestre'!$Q$5:$Q$504,MATCH(C1541,'Cadastro Mestre'!$A$5:$A$504,0)),""))</f>
        <v/>
      </c>
      <c r="F1541" s="21"/>
      <c r="G1541" s="21"/>
      <c r="H1541" s="21"/>
      <c r="I1541" s="21"/>
    </row>
    <row r="1542" customFormat="false" ht="15" hidden="false" customHeight="false" outlineLevel="0" collapsed="false">
      <c r="A1542" s="25"/>
      <c r="B1542" s="21"/>
      <c r="C1542" s="21"/>
      <c r="D1542" s="26" t="str">
        <f aca="false">IF(C1542="","",IFERROR(INDEX('Cadastro Mestre'!$C$5:$C$504,MATCH(C1542,'Cadastro Mestre'!$A$5:$A$504,0)),"código não encontrado"))</f>
        <v/>
      </c>
      <c r="E1542" s="24" t="str">
        <f aca="false">IF(C1542="","",IFERROR(INDEX('Cadastro Mestre'!$Q$5:$Q$504,MATCH(C1542,'Cadastro Mestre'!$A$5:$A$504,0)),""))</f>
        <v/>
      </c>
      <c r="F1542" s="21"/>
      <c r="G1542" s="21"/>
      <c r="H1542" s="21"/>
      <c r="I1542" s="21"/>
    </row>
    <row r="1543" customFormat="false" ht="15" hidden="false" customHeight="false" outlineLevel="0" collapsed="false">
      <c r="A1543" s="25"/>
      <c r="B1543" s="21"/>
      <c r="C1543" s="21"/>
      <c r="D1543" s="26" t="str">
        <f aca="false">IF(C1543="","",IFERROR(INDEX('Cadastro Mestre'!$C$5:$C$504,MATCH(C1543,'Cadastro Mestre'!$A$5:$A$504,0)),"código não encontrado"))</f>
        <v/>
      </c>
      <c r="E1543" s="24" t="str">
        <f aca="false">IF(C1543="","",IFERROR(INDEX('Cadastro Mestre'!$Q$5:$Q$504,MATCH(C1543,'Cadastro Mestre'!$A$5:$A$504,0)),""))</f>
        <v/>
      </c>
      <c r="F1543" s="21"/>
      <c r="G1543" s="21"/>
      <c r="H1543" s="21"/>
      <c r="I1543" s="21"/>
    </row>
    <row r="1544" customFormat="false" ht="15" hidden="false" customHeight="false" outlineLevel="0" collapsed="false">
      <c r="A1544" s="25"/>
      <c r="B1544" s="21"/>
      <c r="C1544" s="21"/>
      <c r="D1544" s="26" t="str">
        <f aca="false">IF(C1544="","",IFERROR(INDEX('Cadastro Mestre'!$C$5:$C$504,MATCH(C1544,'Cadastro Mestre'!$A$5:$A$504,0)),"código não encontrado"))</f>
        <v/>
      </c>
      <c r="E1544" s="24" t="str">
        <f aca="false">IF(C1544="","",IFERROR(INDEX('Cadastro Mestre'!$Q$5:$Q$504,MATCH(C1544,'Cadastro Mestre'!$A$5:$A$504,0)),""))</f>
        <v/>
      </c>
      <c r="F1544" s="21"/>
      <c r="G1544" s="21"/>
      <c r="H1544" s="21"/>
      <c r="I1544" s="21"/>
    </row>
    <row r="1545" customFormat="false" ht="15" hidden="false" customHeight="false" outlineLevel="0" collapsed="false">
      <c r="A1545" s="25"/>
      <c r="B1545" s="21"/>
      <c r="C1545" s="21"/>
      <c r="D1545" s="26" t="str">
        <f aca="false">IF(C1545="","",IFERROR(INDEX('Cadastro Mestre'!$C$5:$C$504,MATCH(C1545,'Cadastro Mestre'!$A$5:$A$504,0)),"código não encontrado"))</f>
        <v/>
      </c>
      <c r="E1545" s="24" t="str">
        <f aca="false">IF(C1545="","",IFERROR(INDEX('Cadastro Mestre'!$Q$5:$Q$504,MATCH(C1545,'Cadastro Mestre'!$A$5:$A$504,0)),""))</f>
        <v/>
      </c>
      <c r="F1545" s="21"/>
      <c r="G1545" s="21"/>
      <c r="H1545" s="21"/>
      <c r="I1545" s="21"/>
    </row>
    <row r="1546" customFormat="false" ht="15" hidden="false" customHeight="false" outlineLevel="0" collapsed="false">
      <c r="A1546" s="25"/>
      <c r="B1546" s="21"/>
      <c r="C1546" s="21"/>
      <c r="D1546" s="26" t="str">
        <f aca="false">IF(C1546="","",IFERROR(INDEX('Cadastro Mestre'!$C$5:$C$504,MATCH(C1546,'Cadastro Mestre'!$A$5:$A$504,0)),"código não encontrado"))</f>
        <v/>
      </c>
      <c r="E1546" s="24" t="str">
        <f aca="false">IF(C1546="","",IFERROR(INDEX('Cadastro Mestre'!$Q$5:$Q$504,MATCH(C1546,'Cadastro Mestre'!$A$5:$A$504,0)),""))</f>
        <v/>
      </c>
      <c r="F1546" s="21"/>
      <c r="G1546" s="21"/>
      <c r="H1546" s="21"/>
      <c r="I1546" s="21"/>
    </row>
    <row r="1547" customFormat="false" ht="15" hidden="false" customHeight="false" outlineLevel="0" collapsed="false">
      <c r="A1547" s="25"/>
      <c r="B1547" s="21"/>
      <c r="C1547" s="21"/>
      <c r="D1547" s="26" t="str">
        <f aca="false">IF(C1547="","",IFERROR(INDEX('Cadastro Mestre'!$C$5:$C$504,MATCH(C1547,'Cadastro Mestre'!$A$5:$A$504,0)),"código não encontrado"))</f>
        <v/>
      </c>
      <c r="E1547" s="24" t="str">
        <f aca="false">IF(C1547="","",IFERROR(INDEX('Cadastro Mestre'!$Q$5:$Q$504,MATCH(C1547,'Cadastro Mestre'!$A$5:$A$504,0)),""))</f>
        <v/>
      </c>
      <c r="F1547" s="21"/>
      <c r="G1547" s="21"/>
      <c r="H1547" s="21"/>
      <c r="I1547" s="21"/>
    </row>
    <row r="1548" customFormat="false" ht="15" hidden="false" customHeight="false" outlineLevel="0" collapsed="false">
      <c r="A1548" s="25"/>
      <c r="B1548" s="21"/>
      <c r="C1548" s="21"/>
      <c r="D1548" s="26" t="str">
        <f aca="false">IF(C1548="","",IFERROR(INDEX('Cadastro Mestre'!$C$5:$C$504,MATCH(C1548,'Cadastro Mestre'!$A$5:$A$504,0)),"código não encontrado"))</f>
        <v/>
      </c>
      <c r="E1548" s="24" t="str">
        <f aca="false">IF(C1548="","",IFERROR(INDEX('Cadastro Mestre'!$Q$5:$Q$504,MATCH(C1548,'Cadastro Mestre'!$A$5:$A$504,0)),""))</f>
        <v/>
      </c>
      <c r="F1548" s="21"/>
      <c r="G1548" s="21"/>
      <c r="H1548" s="21"/>
      <c r="I1548" s="21"/>
    </row>
    <row r="1549" customFormat="false" ht="15" hidden="false" customHeight="false" outlineLevel="0" collapsed="false">
      <c r="A1549" s="25"/>
      <c r="B1549" s="21"/>
      <c r="C1549" s="21"/>
      <c r="D1549" s="26" t="str">
        <f aca="false">IF(C1549="","",IFERROR(INDEX('Cadastro Mestre'!$C$5:$C$504,MATCH(C1549,'Cadastro Mestre'!$A$5:$A$504,0)),"código não encontrado"))</f>
        <v/>
      </c>
      <c r="E1549" s="24" t="str">
        <f aca="false">IF(C1549="","",IFERROR(INDEX('Cadastro Mestre'!$Q$5:$Q$504,MATCH(C1549,'Cadastro Mestre'!$A$5:$A$504,0)),""))</f>
        <v/>
      </c>
      <c r="F1549" s="21"/>
      <c r="G1549" s="21"/>
      <c r="H1549" s="21"/>
      <c r="I1549" s="21"/>
    </row>
    <row r="1550" customFormat="false" ht="15" hidden="false" customHeight="false" outlineLevel="0" collapsed="false">
      <c r="A1550" s="25"/>
      <c r="B1550" s="21"/>
      <c r="C1550" s="21"/>
      <c r="D1550" s="26" t="str">
        <f aca="false">IF(C1550="","",IFERROR(INDEX('Cadastro Mestre'!$C$5:$C$504,MATCH(C1550,'Cadastro Mestre'!$A$5:$A$504,0)),"código não encontrado"))</f>
        <v/>
      </c>
      <c r="E1550" s="24" t="str">
        <f aca="false">IF(C1550="","",IFERROR(INDEX('Cadastro Mestre'!$Q$5:$Q$504,MATCH(C1550,'Cadastro Mestre'!$A$5:$A$504,0)),""))</f>
        <v/>
      </c>
      <c r="F1550" s="21"/>
      <c r="G1550" s="21"/>
      <c r="H1550" s="21"/>
      <c r="I1550" s="21"/>
    </row>
    <row r="1551" customFormat="false" ht="15" hidden="false" customHeight="false" outlineLevel="0" collapsed="false">
      <c r="A1551" s="25"/>
      <c r="B1551" s="21"/>
      <c r="C1551" s="21"/>
      <c r="D1551" s="26" t="str">
        <f aca="false">IF(C1551="","",IFERROR(INDEX('Cadastro Mestre'!$C$5:$C$504,MATCH(C1551,'Cadastro Mestre'!$A$5:$A$504,0)),"código não encontrado"))</f>
        <v/>
      </c>
      <c r="E1551" s="24" t="str">
        <f aca="false">IF(C1551="","",IFERROR(INDEX('Cadastro Mestre'!$Q$5:$Q$504,MATCH(C1551,'Cadastro Mestre'!$A$5:$A$504,0)),""))</f>
        <v/>
      </c>
      <c r="F1551" s="21"/>
      <c r="G1551" s="21"/>
      <c r="H1551" s="21"/>
      <c r="I1551" s="21"/>
    </row>
    <row r="1552" customFormat="false" ht="15" hidden="false" customHeight="false" outlineLevel="0" collapsed="false">
      <c r="A1552" s="25"/>
      <c r="B1552" s="21"/>
      <c r="C1552" s="21"/>
      <c r="D1552" s="26" t="str">
        <f aca="false">IF(C1552="","",IFERROR(INDEX('Cadastro Mestre'!$C$5:$C$504,MATCH(C1552,'Cadastro Mestre'!$A$5:$A$504,0)),"código não encontrado"))</f>
        <v/>
      </c>
      <c r="E1552" s="24" t="str">
        <f aca="false">IF(C1552="","",IFERROR(INDEX('Cadastro Mestre'!$Q$5:$Q$504,MATCH(C1552,'Cadastro Mestre'!$A$5:$A$504,0)),""))</f>
        <v/>
      </c>
      <c r="F1552" s="21"/>
      <c r="G1552" s="21"/>
      <c r="H1552" s="21"/>
      <c r="I1552" s="21"/>
    </row>
    <row r="1553" customFormat="false" ht="15" hidden="false" customHeight="false" outlineLevel="0" collapsed="false">
      <c r="A1553" s="25"/>
      <c r="B1553" s="21"/>
      <c r="C1553" s="21"/>
      <c r="D1553" s="26" t="str">
        <f aca="false">IF(C1553="","",IFERROR(INDEX('Cadastro Mestre'!$C$5:$C$504,MATCH(C1553,'Cadastro Mestre'!$A$5:$A$504,0)),"código não encontrado"))</f>
        <v/>
      </c>
      <c r="E1553" s="24" t="str">
        <f aca="false">IF(C1553="","",IFERROR(INDEX('Cadastro Mestre'!$Q$5:$Q$504,MATCH(C1553,'Cadastro Mestre'!$A$5:$A$504,0)),""))</f>
        <v/>
      </c>
      <c r="F1553" s="21"/>
      <c r="G1553" s="21"/>
      <c r="H1553" s="21"/>
      <c r="I1553" s="21"/>
    </row>
    <row r="1554" customFormat="false" ht="15" hidden="false" customHeight="false" outlineLevel="0" collapsed="false">
      <c r="A1554" s="25"/>
      <c r="B1554" s="21"/>
      <c r="C1554" s="21"/>
      <c r="D1554" s="26" t="str">
        <f aca="false">IF(C1554="","",IFERROR(INDEX('Cadastro Mestre'!$C$5:$C$504,MATCH(C1554,'Cadastro Mestre'!$A$5:$A$504,0)),"código não encontrado"))</f>
        <v/>
      </c>
      <c r="E1554" s="24" t="str">
        <f aca="false">IF(C1554="","",IFERROR(INDEX('Cadastro Mestre'!$Q$5:$Q$504,MATCH(C1554,'Cadastro Mestre'!$A$5:$A$504,0)),""))</f>
        <v/>
      </c>
      <c r="F1554" s="21"/>
      <c r="G1554" s="21"/>
      <c r="H1554" s="21"/>
      <c r="I1554" s="21"/>
    </row>
    <row r="1555" customFormat="false" ht="15" hidden="false" customHeight="false" outlineLevel="0" collapsed="false">
      <c r="A1555" s="25"/>
      <c r="B1555" s="21"/>
      <c r="C1555" s="21"/>
      <c r="D1555" s="26" t="str">
        <f aca="false">IF(C1555="","",IFERROR(INDEX('Cadastro Mestre'!$C$5:$C$504,MATCH(C1555,'Cadastro Mestre'!$A$5:$A$504,0)),"código não encontrado"))</f>
        <v/>
      </c>
      <c r="E1555" s="24" t="str">
        <f aca="false">IF(C1555="","",IFERROR(INDEX('Cadastro Mestre'!$Q$5:$Q$504,MATCH(C1555,'Cadastro Mestre'!$A$5:$A$504,0)),""))</f>
        <v/>
      </c>
      <c r="F1555" s="21"/>
      <c r="G1555" s="21"/>
      <c r="H1555" s="21"/>
      <c r="I1555" s="21"/>
    </row>
    <row r="1556" customFormat="false" ht="15" hidden="false" customHeight="false" outlineLevel="0" collapsed="false">
      <c r="A1556" s="25"/>
      <c r="B1556" s="21"/>
      <c r="C1556" s="21"/>
      <c r="D1556" s="26" t="str">
        <f aca="false">IF(C1556="","",IFERROR(INDEX('Cadastro Mestre'!$C$5:$C$504,MATCH(C1556,'Cadastro Mestre'!$A$5:$A$504,0)),"código não encontrado"))</f>
        <v/>
      </c>
      <c r="E1556" s="24" t="str">
        <f aca="false">IF(C1556="","",IFERROR(INDEX('Cadastro Mestre'!$Q$5:$Q$504,MATCH(C1556,'Cadastro Mestre'!$A$5:$A$504,0)),""))</f>
        <v/>
      </c>
      <c r="F1556" s="21"/>
      <c r="G1556" s="21"/>
      <c r="H1556" s="21"/>
      <c r="I1556" s="21"/>
    </row>
    <row r="1557" customFormat="false" ht="15" hidden="false" customHeight="false" outlineLevel="0" collapsed="false">
      <c r="A1557" s="25"/>
      <c r="B1557" s="21"/>
      <c r="C1557" s="21"/>
      <c r="D1557" s="26" t="str">
        <f aca="false">IF(C1557="","",IFERROR(INDEX('Cadastro Mestre'!$C$5:$C$504,MATCH(C1557,'Cadastro Mestre'!$A$5:$A$504,0)),"código não encontrado"))</f>
        <v/>
      </c>
      <c r="E1557" s="24" t="str">
        <f aca="false">IF(C1557="","",IFERROR(INDEX('Cadastro Mestre'!$Q$5:$Q$504,MATCH(C1557,'Cadastro Mestre'!$A$5:$A$504,0)),""))</f>
        <v/>
      </c>
      <c r="F1557" s="21"/>
      <c r="G1557" s="21"/>
      <c r="H1557" s="21"/>
      <c r="I1557" s="21"/>
    </row>
    <row r="1558" customFormat="false" ht="15" hidden="false" customHeight="false" outlineLevel="0" collapsed="false">
      <c r="A1558" s="25"/>
      <c r="B1558" s="21"/>
      <c r="C1558" s="21"/>
      <c r="D1558" s="26" t="str">
        <f aca="false">IF(C1558="","",IFERROR(INDEX('Cadastro Mestre'!$C$5:$C$504,MATCH(C1558,'Cadastro Mestre'!$A$5:$A$504,0)),"código não encontrado"))</f>
        <v/>
      </c>
      <c r="E1558" s="24" t="str">
        <f aca="false">IF(C1558="","",IFERROR(INDEX('Cadastro Mestre'!$Q$5:$Q$504,MATCH(C1558,'Cadastro Mestre'!$A$5:$A$504,0)),""))</f>
        <v/>
      </c>
      <c r="F1558" s="21"/>
      <c r="G1558" s="21"/>
      <c r="H1558" s="21"/>
      <c r="I1558" s="21"/>
    </row>
    <row r="1559" customFormat="false" ht="15" hidden="false" customHeight="false" outlineLevel="0" collapsed="false">
      <c r="A1559" s="25"/>
      <c r="B1559" s="21"/>
      <c r="C1559" s="21"/>
      <c r="D1559" s="26" t="str">
        <f aca="false">IF(C1559="","",IFERROR(INDEX('Cadastro Mestre'!$C$5:$C$504,MATCH(C1559,'Cadastro Mestre'!$A$5:$A$504,0)),"código não encontrado"))</f>
        <v/>
      </c>
      <c r="E1559" s="24" t="str">
        <f aca="false">IF(C1559="","",IFERROR(INDEX('Cadastro Mestre'!$Q$5:$Q$504,MATCH(C1559,'Cadastro Mestre'!$A$5:$A$504,0)),""))</f>
        <v/>
      </c>
      <c r="F1559" s="21"/>
      <c r="G1559" s="21"/>
      <c r="H1559" s="21"/>
      <c r="I1559" s="21"/>
    </row>
    <row r="1560" customFormat="false" ht="15" hidden="false" customHeight="false" outlineLevel="0" collapsed="false">
      <c r="A1560" s="25"/>
      <c r="B1560" s="21"/>
      <c r="C1560" s="21"/>
      <c r="D1560" s="26" t="str">
        <f aca="false">IF(C1560="","",IFERROR(INDEX('Cadastro Mestre'!$C$5:$C$504,MATCH(C1560,'Cadastro Mestre'!$A$5:$A$504,0)),"código não encontrado"))</f>
        <v/>
      </c>
      <c r="E1560" s="24" t="str">
        <f aca="false">IF(C1560="","",IFERROR(INDEX('Cadastro Mestre'!$Q$5:$Q$504,MATCH(C1560,'Cadastro Mestre'!$A$5:$A$504,0)),""))</f>
        <v/>
      </c>
      <c r="F1560" s="21"/>
      <c r="G1560" s="21"/>
      <c r="H1560" s="21"/>
      <c r="I1560" s="21"/>
    </row>
    <row r="1561" customFormat="false" ht="15" hidden="false" customHeight="false" outlineLevel="0" collapsed="false">
      <c r="A1561" s="25"/>
      <c r="B1561" s="21"/>
      <c r="C1561" s="21"/>
      <c r="D1561" s="26" t="str">
        <f aca="false">IF(C1561="","",IFERROR(INDEX('Cadastro Mestre'!$C$5:$C$504,MATCH(C1561,'Cadastro Mestre'!$A$5:$A$504,0)),"código não encontrado"))</f>
        <v/>
      </c>
      <c r="E1561" s="24" t="str">
        <f aca="false">IF(C1561="","",IFERROR(INDEX('Cadastro Mestre'!$Q$5:$Q$504,MATCH(C1561,'Cadastro Mestre'!$A$5:$A$504,0)),""))</f>
        <v/>
      </c>
      <c r="F1561" s="21"/>
      <c r="G1561" s="21"/>
      <c r="H1561" s="21"/>
      <c r="I1561" s="21"/>
    </row>
    <row r="1562" customFormat="false" ht="15" hidden="false" customHeight="false" outlineLevel="0" collapsed="false">
      <c r="A1562" s="25"/>
      <c r="B1562" s="21"/>
      <c r="C1562" s="21"/>
      <c r="D1562" s="26" t="str">
        <f aca="false">IF(C1562="","",IFERROR(INDEX('Cadastro Mestre'!$C$5:$C$504,MATCH(C1562,'Cadastro Mestre'!$A$5:$A$504,0)),"código não encontrado"))</f>
        <v/>
      </c>
      <c r="E1562" s="24" t="str">
        <f aca="false">IF(C1562="","",IFERROR(INDEX('Cadastro Mestre'!$Q$5:$Q$504,MATCH(C1562,'Cadastro Mestre'!$A$5:$A$504,0)),""))</f>
        <v/>
      </c>
      <c r="F1562" s="21"/>
      <c r="G1562" s="21"/>
      <c r="H1562" s="21"/>
      <c r="I1562" s="21"/>
    </row>
    <row r="1563" customFormat="false" ht="15" hidden="false" customHeight="false" outlineLevel="0" collapsed="false">
      <c r="A1563" s="25"/>
      <c r="B1563" s="21"/>
      <c r="C1563" s="21"/>
      <c r="D1563" s="26" t="str">
        <f aca="false">IF(C1563="","",IFERROR(INDEX('Cadastro Mestre'!$C$5:$C$504,MATCH(C1563,'Cadastro Mestre'!$A$5:$A$504,0)),"código não encontrado"))</f>
        <v/>
      </c>
      <c r="E1563" s="24" t="str">
        <f aca="false">IF(C1563="","",IFERROR(INDEX('Cadastro Mestre'!$Q$5:$Q$504,MATCH(C1563,'Cadastro Mestre'!$A$5:$A$504,0)),""))</f>
        <v/>
      </c>
      <c r="F1563" s="21"/>
      <c r="G1563" s="21"/>
      <c r="H1563" s="21"/>
      <c r="I1563" s="21"/>
    </row>
    <row r="1564" customFormat="false" ht="15" hidden="false" customHeight="false" outlineLevel="0" collapsed="false">
      <c r="A1564" s="25"/>
      <c r="B1564" s="21"/>
      <c r="C1564" s="21"/>
      <c r="D1564" s="26" t="str">
        <f aca="false">IF(C1564="","",IFERROR(INDEX('Cadastro Mestre'!$C$5:$C$504,MATCH(C1564,'Cadastro Mestre'!$A$5:$A$504,0)),"código não encontrado"))</f>
        <v/>
      </c>
      <c r="E1564" s="24" t="str">
        <f aca="false">IF(C1564="","",IFERROR(INDEX('Cadastro Mestre'!$Q$5:$Q$504,MATCH(C1564,'Cadastro Mestre'!$A$5:$A$504,0)),""))</f>
        <v/>
      </c>
      <c r="F1564" s="21"/>
      <c r="G1564" s="21"/>
      <c r="H1564" s="21"/>
      <c r="I1564" s="21"/>
    </row>
    <row r="1565" customFormat="false" ht="15" hidden="false" customHeight="false" outlineLevel="0" collapsed="false">
      <c r="A1565" s="25"/>
      <c r="B1565" s="21"/>
      <c r="C1565" s="21"/>
      <c r="D1565" s="26" t="str">
        <f aca="false">IF(C1565="","",IFERROR(INDEX('Cadastro Mestre'!$C$5:$C$504,MATCH(C1565,'Cadastro Mestre'!$A$5:$A$504,0)),"código não encontrado"))</f>
        <v/>
      </c>
      <c r="E1565" s="24" t="str">
        <f aca="false">IF(C1565="","",IFERROR(INDEX('Cadastro Mestre'!$Q$5:$Q$504,MATCH(C1565,'Cadastro Mestre'!$A$5:$A$504,0)),""))</f>
        <v/>
      </c>
      <c r="F1565" s="21"/>
      <c r="G1565" s="21"/>
      <c r="H1565" s="21"/>
      <c r="I1565" s="21"/>
    </row>
    <row r="1566" customFormat="false" ht="15" hidden="false" customHeight="false" outlineLevel="0" collapsed="false">
      <c r="A1566" s="25"/>
      <c r="B1566" s="21"/>
      <c r="C1566" s="21"/>
      <c r="D1566" s="26" t="str">
        <f aca="false">IF(C1566="","",IFERROR(INDEX('Cadastro Mestre'!$C$5:$C$504,MATCH(C1566,'Cadastro Mestre'!$A$5:$A$504,0)),"código não encontrado"))</f>
        <v/>
      </c>
      <c r="E1566" s="24" t="str">
        <f aca="false">IF(C1566="","",IFERROR(INDEX('Cadastro Mestre'!$Q$5:$Q$504,MATCH(C1566,'Cadastro Mestre'!$A$5:$A$504,0)),""))</f>
        <v/>
      </c>
      <c r="F1566" s="21"/>
      <c r="G1566" s="21"/>
      <c r="H1566" s="21"/>
      <c r="I1566" s="21"/>
    </row>
    <row r="1567" customFormat="false" ht="15" hidden="false" customHeight="false" outlineLevel="0" collapsed="false">
      <c r="A1567" s="25"/>
      <c r="B1567" s="21"/>
      <c r="C1567" s="21"/>
      <c r="D1567" s="26" t="str">
        <f aca="false">IF(C1567="","",IFERROR(INDEX('Cadastro Mestre'!$C$5:$C$504,MATCH(C1567,'Cadastro Mestre'!$A$5:$A$504,0)),"código não encontrado"))</f>
        <v/>
      </c>
      <c r="E1567" s="24" t="str">
        <f aca="false">IF(C1567="","",IFERROR(INDEX('Cadastro Mestre'!$Q$5:$Q$504,MATCH(C1567,'Cadastro Mestre'!$A$5:$A$504,0)),""))</f>
        <v/>
      </c>
      <c r="F1567" s="21"/>
      <c r="G1567" s="21"/>
      <c r="H1567" s="21"/>
      <c r="I1567" s="21"/>
    </row>
    <row r="1568" customFormat="false" ht="15" hidden="false" customHeight="false" outlineLevel="0" collapsed="false">
      <c r="A1568" s="25"/>
      <c r="B1568" s="21"/>
      <c r="C1568" s="21"/>
      <c r="D1568" s="26" t="str">
        <f aca="false">IF(C1568="","",IFERROR(INDEX('Cadastro Mestre'!$C$5:$C$504,MATCH(C1568,'Cadastro Mestre'!$A$5:$A$504,0)),"código não encontrado"))</f>
        <v/>
      </c>
      <c r="E1568" s="24" t="str">
        <f aca="false">IF(C1568="","",IFERROR(INDEX('Cadastro Mestre'!$Q$5:$Q$504,MATCH(C1568,'Cadastro Mestre'!$A$5:$A$504,0)),""))</f>
        <v/>
      </c>
      <c r="F1568" s="21"/>
      <c r="G1568" s="21"/>
      <c r="H1568" s="21"/>
      <c r="I1568" s="21"/>
    </row>
    <row r="1569" customFormat="false" ht="15" hidden="false" customHeight="false" outlineLevel="0" collapsed="false">
      <c r="A1569" s="25"/>
      <c r="B1569" s="21"/>
      <c r="C1569" s="21"/>
      <c r="D1569" s="26" t="str">
        <f aca="false">IF(C1569="","",IFERROR(INDEX('Cadastro Mestre'!$C$5:$C$504,MATCH(C1569,'Cadastro Mestre'!$A$5:$A$504,0)),"código não encontrado"))</f>
        <v/>
      </c>
      <c r="E1569" s="24" t="str">
        <f aca="false">IF(C1569="","",IFERROR(INDEX('Cadastro Mestre'!$Q$5:$Q$504,MATCH(C1569,'Cadastro Mestre'!$A$5:$A$504,0)),""))</f>
        <v/>
      </c>
      <c r="F1569" s="21"/>
      <c r="G1569" s="21"/>
      <c r="H1569" s="21"/>
      <c r="I1569" s="21"/>
    </row>
    <row r="1570" customFormat="false" ht="15" hidden="false" customHeight="false" outlineLevel="0" collapsed="false">
      <c r="A1570" s="25"/>
      <c r="B1570" s="21"/>
      <c r="C1570" s="21"/>
      <c r="D1570" s="26" t="str">
        <f aca="false">IF(C1570="","",IFERROR(INDEX('Cadastro Mestre'!$C$5:$C$504,MATCH(C1570,'Cadastro Mestre'!$A$5:$A$504,0)),"código não encontrado"))</f>
        <v/>
      </c>
      <c r="E1570" s="24" t="str">
        <f aca="false">IF(C1570="","",IFERROR(INDEX('Cadastro Mestre'!$Q$5:$Q$504,MATCH(C1570,'Cadastro Mestre'!$A$5:$A$504,0)),""))</f>
        <v/>
      </c>
      <c r="F1570" s="21"/>
      <c r="G1570" s="21"/>
      <c r="H1570" s="21"/>
      <c r="I1570" s="21"/>
    </row>
    <row r="1571" customFormat="false" ht="15" hidden="false" customHeight="false" outlineLevel="0" collapsed="false">
      <c r="A1571" s="25"/>
      <c r="B1571" s="21"/>
      <c r="C1571" s="21"/>
      <c r="D1571" s="26" t="str">
        <f aca="false">IF(C1571="","",IFERROR(INDEX('Cadastro Mestre'!$C$5:$C$504,MATCH(C1571,'Cadastro Mestre'!$A$5:$A$504,0)),"código não encontrado"))</f>
        <v/>
      </c>
      <c r="E1571" s="24" t="str">
        <f aca="false">IF(C1571="","",IFERROR(INDEX('Cadastro Mestre'!$Q$5:$Q$504,MATCH(C1571,'Cadastro Mestre'!$A$5:$A$504,0)),""))</f>
        <v/>
      </c>
      <c r="F1571" s="21"/>
      <c r="G1571" s="21"/>
      <c r="H1571" s="21"/>
      <c r="I1571" s="21"/>
    </row>
    <row r="1572" customFormat="false" ht="15" hidden="false" customHeight="false" outlineLevel="0" collapsed="false">
      <c r="A1572" s="25"/>
      <c r="B1572" s="21"/>
      <c r="C1572" s="21"/>
      <c r="D1572" s="26" t="str">
        <f aca="false">IF(C1572="","",IFERROR(INDEX('Cadastro Mestre'!$C$5:$C$504,MATCH(C1572,'Cadastro Mestre'!$A$5:$A$504,0)),"código não encontrado"))</f>
        <v/>
      </c>
      <c r="E1572" s="24" t="str">
        <f aca="false">IF(C1572="","",IFERROR(INDEX('Cadastro Mestre'!$Q$5:$Q$504,MATCH(C1572,'Cadastro Mestre'!$A$5:$A$504,0)),""))</f>
        <v/>
      </c>
      <c r="F1572" s="21"/>
      <c r="G1572" s="21"/>
      <c r="H1572" s="21"/>
      <c r="I1572" s="21"/>
    </row>
    <row r="1573" customFormat="false" ht="15" hidden="false" customHeight="false" outlineLevel="0" collapsed="false">
      <c r="A1573" s="25"/>
      <c r="B1573" s="21"/>
      <c r="C1573" s="21"/>
      <c r="D1573" s="26" t="str">
        <f aca="false">IF(C1573="","",IFERROR(INDEX('Cadastro Mestre'!$C$5:$C$504,MATCH(C1573,'Cadastro Mestre'!$A$5:$A$504,0)),"código não encontrado"))</f>
        <v/>
      </c>
      <c r="E1573" s="24" t="str">
        <f aca="false">IF(C1573="","",IFERROR(INDEX('Cadastro Mestre'!$Q$5:$Q$504,MATCH(C1573,'Cadastro Mestre'!$A$5:$A$504,0)),""))</f>
        <v/>
      </c>
      <c r="F1573" s="21"/>
      <c r="G1573" s="21"/>
      <c r="H1573" s="21"/>
      <c r="I1573" s="21"/>
    </row>
    <row r="1574" customFormat="false" ht="15" hidden="false" customHeight="false" outlineLevel="0" collapsed="false">
      <c r="A1574" s="25"/>
      <c r="B1574" s="21"/>
      <c r="C1574" s="21"/>
      <c r="D1574" s="26" t="str">
        <f aca="false">IF(C1574="","",IFERROR(INDEX('Cadastro Mestre'!$C$5:$C$504,MATCH(C1574,'Cadastro Mestre'!$A$5:$A$504,0)),"código não encontrado"))</f>
        <v/>
      </c>
      <c r="E1574" s="24" t="str">
        <f aca="false">IF(C1574="","",IFERROR(INDEX('Cadastro Mestre'!$Q$5:$Q$504,MATCH(C1574,'Cadastro Mestre'!$A$5:$A$504,0)),""))</f>
        <v/>
      </c>
      <c r="F1574" s="21"/>
      <c r="G1574" s="21"/>
      <c r="H1574" s="21"/>
      <c r="I1574" s="21"/>
    </row>
    <row r="1575" customFormat="false" ht="15" hidden="false" customHeight="false" outlineLevel="0" collapsed="false">
      <c r="A1575" s="25"/>
      <c r="B1575" s="21"/>
      <c r="C1575" s="21"/>
      <c r="D1575" s="26" t="str">
        <f aca="false">IF(C1575="","",IFERROR(INDEX('Cadastro Mestre'!$C$5:$C$504,MATCH(C1575,'Cadastro Mestre'!$A$5:$A$504,0)),"código não encontrado"))</f>
        <v/>
      </c>
      <c r="E1575" s="24" t="str">
        <f aca="false">IF(C1575="","",IFERROR(INDEX('Cadastro Mestre'!$Q$5:$Q$504,MATCH(C1575,'Cadastro Mestre'!$A$5:$A$504,0)),""))</f>
        <v/>
      </c>
      <c r="F1575" s="21"/>
      <c r="G1575" s="21"/>
      <c r="H1575" s="21"/>
      <c r="I1575" s="21"/>
    </row>
    <row r="1576" customFormat="false" ht="15" hidden="false" customHeight="false" outlineLevel="0" collapsed="false">
      <c r="A1576" s="25"/>
      <c r="B1576" s="21"/>
      <c r="C1576" s="21"/>
      <c r="D1576" s="26" t="str">
        <f aca="false">IF(C1576="","",IFERROR(INDEX('Cadastro Mestre'!$C$5:$C$504,MATCH(C1576,'Cadastro Mestre'!$A$5:$A$504,0)),"código não encontrado"))</f>
        <v/>
      </c>
      <c r="E1576" s="24" t="str">
        <f aca="false">IF(C1576="","",IFERROR(INDEX('Cadastro Mestre'!$Q$5:$Q$504,MATCH(C1576,'Cadastro Mestre'!$A$5:$A$504,0)),""))</f>
        <v/>
      </c>
      <c r="F1576" s="21"/>
      <c r="G1576" s="21"/>
      <c r="H1576" s="21"/>
      <c r="I1576" s="21"/>
    </row>
    <row r="1577" customFormat="false" ht="15" hidden="false" customHeight="false" outlineLevel="0" collapsed="false">
      <c r="A1577" s="25"/>
      <c r="B1577" s="21"/>
      <c r="C1577" s="21"/>
      <c r="D1577" s="26" t="str">
        <f aca="false">IF(C1577="","",IFERROR(INDEX('Cadastro Mestre'!$C$5:$C$504,MATCH(C1577,'Cadastro Mestre'!$A$5:$A$504,0)),"código não encontrado"))</f>
        <v/>
      </c>
      <c r="E1577" s="24" t="str">
        <f aca="false">IF(C1577="","",IFERROR(INDEX('Cadastro Mestre'!$Q$5:$Q$504,MATCH(C1577,'Cadastro Mestre'!$A$5:$A$504,0)),""))</f>
        <v/>
      </c>
      <c r="F1577" s="21"/>
      <c r="G1577" s="21"/>
      <c r="H1577" s="21"/>
      <c r="I1577" s="21"/>
    </row>
    <row r="1578" customFormat="false" ht="15" hidden="false" customHeight="false" outlineLevel="0" collapsed="false">
      <c r="A1578" s="25"/>
      <c r="B1578" s="21"/>
      <c r="C1578" s="21"/>
      <c r="D1578" s="26" t="str">
        <f aca="false">IF(C1578="","",IFERROR(INDEX('Cadastro Mestre'!$C$5:$C$504,MATCH(C1578,'Cadastro Mestre'!$A$5:$A$504,0)),"código não encontrado"))</f>
        <v/>
      </c>
      <c r="E1578" s="24" t="str">
        <f aca="false">IF(C1578="","",IFERROR(INDEX('Cadastro Mestre'!$Q$5:$Q$504,MATCH(C1578,'Cadastro Mestre'!$A$5:$A$504,0)),""))</f>
        <v/>
      </c>
      <c r="F1578" s="21"/>
      <c r="G1578" s="21"/>
      <c r="H1578" s="21"/>
      <c r="I1578" s="21"/>
    </row>
    <row r="1579" customFormat="false" ht="15" hidden="false" customHeight="false" outlineLevel="0" collapsed="false">
      <c r="A1579" s="25"/>
      <c r="B1579" s="21"/>
      <c r="C1579" s="21"/>
      <c r="D1579" s="26" t="str">
        <f aca="false">IF(C1579="","",IFERROR(INDEX('Cadastro Mestre'!$C$5:$C$504,MATCH(C1579,'Cadastro Mestre'!$A$5:$A$504,0)),"código não encontrado"))</f>
        <v/>
      </c>
      <c r="E1579" s="24" t="str">
        <f aca="false">IF(C1579="","",IFERROR(INDEX('Cadastro Mestre'!$Q$5:$Q$504,MATCH(C1579,'Cadastro Mestre'!$A$5:$A$504,0)),""))</f>
        <v/>
      </c>
      <c r="F1579" s="21"/>
      <c r="G1579" s="21"/>
      <c r="H1579" s="21"/>
      <c r="I1579" s="21"/>
    </row>
    <row r="1580" customFormat="false" ht="15" hidden="false" customHeight="false" outlineLevel="0" collapsed="false">
      <c r="A1580" s="25"/>
      <c r="B1580" s="21"/>
      <c r="C1580" s="21"/>
      <c r="D1580" s="26" t="str">
        <f aca="false">IF(C1580="","",IFERROR(INDEX('Cadastro Mestre'!$C$5:$C$504,MATCH(C1580,'Cadastro Mestre'!$A$5:$A$504,0)),"código não encontrado"))</f>
        <v/>
      </c>
      <c r="E1580" s="24" t="str">
        <f aca="false">IF(C1580="","",IFERROR(INDEX('Cadastro Mestre'!$Q$5:$Q$504,MATCH(C1580,'Cadastro Mestre'!$A$5:$A$504,0)),""))</f>
        <v/>
      </c>
      <c r="F1580" s="21"/>
      <c r="G1580" s="21"/>
      <c r="H1580" s="21"/>
      <c r="I1580" s="21"/>
    </row>
    <row r="1581" customFormat="false" ht="15" hidden="false" customHeight="false" outlineLevel="0" collapsed="false">
      <c r="A1581" s="25"/>
      <c r="B1581" s="21"/>
      <c r="C1581" s="21"/>
      <c r="D1581" s="26" t="str">
        <f aca="false">IF(C1581="","",IFERROR(INDEX('Cadastro Mestre'!$C$5:$C$504,MATCH(C1581,'Cadastro Mestre'!$A$5:$A$504,0)),"código não encontrado"))</f>
        <v/>
      </c>
      <c r="E1581" s="24" t="str">
        <f aca="false">IF(C1581="","",IFERROR(INDEX('Cadastro Mestre'!$Q$5:$Q$504,MATCH(C1581,'Cadastro Mestre'!$A$5:$A$504,0)),""))</f>
        <v/>
      </c>
      <c r="F1581" s="21"/>
      <c r="G1581" s="21"/>
      <c r="H1581" s="21"/>
      <c r="I1581" s="21"/>
    </row>
    <row r="1582" customFormat="false" ht="15" hidden="false" customHeight="false" outlineLevel="0" collapsed="false">
      <c r="A1582" s="25"/>
      <c r="B1582" s="21"/>
      <c r="C1582" s="21"/>
      <c r="D1582" s="26" t="str">
        <f aca="false">IF(C1582="","",IFERROR(INDEX('Cadastro Mestre'!$C$5:$C$504,MATCH(C1582,'Cadastro Mestre'!$A$5:$A$504,0)),"código não encontrado"))</f>
        <v/>
      </c>
      <c r="E1582" s="24" t="str">
        <f aca="false">IF(C1582="","",IFERROR(INDEX('Cadastro Mestre'!$Q$5:$Q$504,MATCH(C1582,'Cadastro Mestre'!$A$5:$A$504,0)),""))</f>
        <v/>
      </c>
      <c r="F1582" s="21"/>
      <c r="G1582" s="21"/>
      <c r="H1582" s="21"/>
      <c r="I1582" s="21"/>
    </row>
    <row r="1583" customFormat="false" ht="15" hidden="false" customHeight="false" outlineLevel="0" collapsed="false">
      <c r="A1583" s="25"/>
      <c r="B1583" s="21"/>
      <c r="C1583" s="21"/>
      <c r="D1583" s="26" t="str">
        <f aca="false">IF(C1583="","",IFERROR(INDEX('Cadastro Mestre'!$C$5:$C$504,MATCH(C1583,'Cadastro Mestre'!$A$5:$A$504,0)),"código não encontrado"))</f>
        <v/>
      </c>
      <c r="E1583" s="24" t="str">
        <f aca="false">IF(C1583="","",IFERROR(INDEX('Cadastro Mestre'!$Q$5:$Q$504,MATCH(C1583,'Cadastro Mestre'!$A$5:$A$504,0)),""))</f>
        <v/>
      </c>
      <c r="F1583" s="21"/>
      <c r="G1583" s="21"/>
      <c r="H1583" s="21"/>
      <c r="I1583" s="21"/>
    </row>
    <row r="1584" customFormat="false" ht="15" hidden="false" customHeight="false" outlineLevel="0" collapsed="false">
      <c r="A1584" s="25"/>
      <c r="B1584" s="21"/>
      <c r="C1584" s="21"/>
      <c r="D1584" s="26" t="str">
        <f aca="false">IF(C1584="","",IFERROR(INDEX('Cadastro Mestre'!$C$5:$C$504,MATCH(C1584,'Cadastro Mestre'!$A$5:$A$504,0)),"código não encontrado"))</f>
        <v/>
      </c>
      <c r="E1584" s="24" t="str">
        <f aca="false">IF(C1584="","",IFERROR(INDEX('Cadastro Mestre'!$Q$5:$Q$504,MATCH(C1584,'Cadastro Mestre'!$A$5:$A$504,0)),""))</f>
        <v/>
      </c>
      <c r="F1584" s="21"/>
      <c r="G1584" s="21"/>
      <c r="H1584" s="21"/>
      <c r="I1584" s="21"/>
    </row>
    <row r="1585" customFormat="false" ht="15" hidden="false" customHeight="false" outlineLevel="0" collapsed="false">
      <c r="A1585" s="25"/>
      <c r="B1585" s="21"/>
      <c r="C1585" s="21"/>
      <c r="D1585" s="26" t="str">
        <f aca="false">IF(C1585="","",IFERROR(INDEX('Cadastro Mestre'!$C$5:$C$504,MATCH(C1585,'Cadastro Mestre'!$A$5:$A$504,0)),"código não encontrado"))</f>
        <v/>
      </c>
      <c r="E1585" s="24" t="str">
        <f aca="false">IF(C1585="","",IFERROR(INDEX('Cadastro Mestre'!$Q$5:$Q$504,MATCH(C1585,'Cadastro Mestre'!$A$5:$A$504,0)),""))</f>
        <v/>
      </c>
      <c r="F1585" s="21"/>
      <c r="G1585" s="21"/>
      <c r="H1585" s="21"/>
      <c r="I1585" s="21"/>
    </row>
    <row r="1586" customFormat="false" ht="15" hidden="false" customHeight="false" outlineLevel="0" collapsed="false">
      <c r="A1586" s="25"/>
      <c r="B1586" s="21"/>
      <c r="C1586" s="21"/>
      <c r="D1586" s="26" t="str">
        <f aca="false">IF(C1586="","",IFERROR(INDEX('Cadastro Mestre'!$C$5:$C$504,MATCH(C1586,'Cadastro Mestre'!$A$5:$A$504,0)),"código não encontrado"))</f>
        <v/>
      </c>
      <c r="E1586" s="24" t="str">
        <f aca="false">IF(C1586="","",IFERROR(INDEX('Cadastro Mestre'!$Q$5:$Q$504,MATCH(C1586,'Cadastro Mestre'!$A$5:$A$504,0)),""))</f>
        <v/>
      </c>
      <c r="F1586" s="21"/>
      <c r="G1586" s="21"/>
      <c r="H1586" s="21"/>
      <c r="I1586" s="21"/>
    </row>
    <row r="1587" customFormat="false" ht="15" hidden="false" customHeight="false" outlineLevel="0" collapsed="false">
      <c r="A1587" s="25"/>
      <c r="B1587" s="21"/>
      <c r="C1587" s="21"/>
      <c r="D1587" s="26" t="str">
        <f aca="false">IF(C1587="","",IFERROR(INDEX('Cadastro Mestre'!$C$5:$C$504,MATCH(C1587,'Cadastro Mestre'!$A$5:$A$504,0)),"código não encontrado"))</f>
        <v/>
      </c>
      <c r="E1587" s="24" t="str">
        <f aca="false">IF(C1587="","",IFERROR(INDEX('Cadastro Mestre'!$Q$5:$Q$504,MATCH(C1587,'Cadastro Mestre'!$A$5:$A$504,0)),""))</f>
        <v/>
      </c>
      <c r="F1587" s="21"/>
      <c r="G1587" s="21"/>
      <c r="H1587" s="21"/>
      <c r="I1587" s="21"/>
    </row>
    <row r="1588" customFormat="false" ht="15" hidden="false" customHeight="false" outlineLevel="0" collapsed="false">
      <c r="A1588" s="25"/>
      <c r="B1588" s="21"/>
      <c r="C1588" s="21"/>
      <c r="D1588" s="26" t="str">
        <f aca="false">IF(C1588="","",IFERROR(INDEX('Cadastro Mestre'!$C$5:$C$504,MATCH(C1588,'Cadastro Mestre'!$A$5:$A$504,0)),"código não encontrado"))</f>
        <v/>
      </c>
      <c r="E1588" s="24" t="str">
        <f aca="false">IF(C1588="","",IFERROR(INDEX('Cadastro Mestre'!$Q$5:$Q$504,MATCH(C1588,'Cadastro Mestre'!$A$5:$A$504,0)),""))</f>
        <v/>
      </c>
      <c r="F1588" s="21"/>
      <c r="G1588" s="21"/>
      <c r="H1588" s="21"/>
      <c r="I1588" s="21"/>
    </row>
    <row r="1589" customFormat="false" ht="15" hidden="false" customHeight="false" outlineLevel="0" collapsed="false">
      <c r="A1589" s="25"/>
      <c r="B1589" s="21"/>
      <c r="C1589" s="21"/>
      <c r="D1589" s="26" t="str">
        <f aca="false">IF(C1589="","",IFERROR(INDEX('Cadastro Mestre'!$C$5:$C$504,MATCH(C1589,'Cadastro Mestre'!$A$5:$A$504,0)),"código não encontrado"))</f>
        <v/>
      </c>
      <c r="E1589" s="24" t="str">
        <f aca="false">IF(C1589="","",IFERROR(INDEX('Cadastro Mestre'!$Q$5:$Q$504,MATCH(C1589,'Cadastro Mestre'!$A$5:$A$504,0)),""))</f>
        <v/>
      </c>
      <c r="F1589" s="21"/>
      <c r="G1589" s="21"/>
      <c r="H1589" s="21"/>
      <c r="I1589" s="21"/>
    </row>
    <row r="1590" customFormat="false" ht="15" hidden="false" customHeight="false" outlineLevel="0" collapsed="false">
      <c r="A1590" s="25"/>
      <c r="B1590" s="21"/>
      <c r="C1590" s="21"/>
      <c r="D1590" s="26" t="str">
        <f aca="false">IF(C1590="","",IFERROR(INDEX('Cadastro Mestre'!$C$5:$C$504,MATCH(C1590,'Cadastro Mestre'!$A$5:$A$504,0)),"código não encontrado"))</f>
        <v/>
      </c>
      <c r="E1590" s="24" t="str">
        <f aca="false">IF(C1590="","",IFERROR(INDEX('Cadastro Mestre'!$Q$5:$Q$504,MATCH(C1590,'Cadastro Mestre'!$A$5:$A$504,0)),""))</f>
        <v/>
      </c>
      <c r="F1590" s="21"/>
      <c r="G1590" s="21"/>
      <c r="H1590" s="21"/>
      <c r="I1590" s="21"/>
    </row>
    <row r="1591" customFormat="false" ht="15" hidden="false" customHeight="false" outlineLevel="0" collapsed="false">
      <c r="A1591" s="25"/>
      <c r="B1591" s="21"/>
      <c r="C1591" s="21"/>
      <c r="D1591" s="26" t="str">
        <f aca="false">IF(C1591="","",IFERROR(INDEX('Cadastro Mestre'!$C$5:$C$504,MATCH(C1591,'Cadastro Mestre'!$A$5:$A$504,0)),"código não encontrado"))</f>
        <v/>
      </c>
      <c r="E1591" s="24" t="str">
        <f aca="false">IF(C1591="","",IFERROR(INDEX('Cadastro Mestre'!$Q$5:$Q$504,MATCH(C1591,'Cadastro Mestre'!$A$5:$A$504,0)),""))</f>
        <v/>
      </c>
      <c r="F1591" s="21"/>
      <c r="G1591" s="21"/>
      <c r="H1591" s="21"/>
      <c r="I1591" s="21"/>
    </row>
    <row r="1592" customFormat="false" ht="15" hidden="false" customHeight="false" outlineLevel="0" collapsed="false">
      <c r="A1592" s="25"/>
      <c r="B1592" s="21"/>
      <c r="C1592" s="21"/>
      <c r="D1592" s="26" t="str">
        <f aca="false">IF(C1592="","",IFERROR(INDEX('Cadastro Mestre'!$C$5:$C$504,MATCH(C1592,'Cadastro Mestre'!$A$5:$A$504,0)),"código não encontrado"))</f>
        <v/>
      </c>
      <c r="E1592" s="24" t="str">
        <f aca="false">IF(C1592="","",IFERROR(INDEX('Cadastro Mestre'!$Q$5:$Q$504,MATCH(C1592,'Cadastro Mestre'!$A$5:$A$504,0)),""))</f>
        <v/>
      </c>
      <c r="F1592" s="21"/>
      <c r="G1592" s="21"/>
      <c r="H1592" s="21"/>
      <c r="I1592" s="21"/>
    </row>
    <row r="1593" customFormat="false" ht="15" hidden="false" customHeight="false" outlineLevel="0" collapsed="false">
      <c r="A1593" s="25"/>
      <c r="B1593" s="21"/>
      <c r="C1593" s="21"/>
      <c r="D1593" s="26" t="str">
        <f aca="false">IF(C1593="","",IFERROR(INDEX('Cadastro Mestre'!$C$5:$C$504,MATCH(C1593,'Cadastro Mestre'!$A$5:$A$504,0)),"código não encontrado"))</f>
        <v/>
      </c>
      <c r="E1593" s="24" t="str">
        <f aca="false">IF(C1593="","",IFERROR(INDEX('Cadastro Mestre'!$Q$5:$Q$504,MATCH(C1593,'Cadastro Mestre'!$A$5:$A$504,0)),""))</f>
        <v/>
      </c>
      <c r="F1593" s="21"/>
      <c r="G1593" s="21"/>
      <c r="H1593" s="21"/>
      <c r="I1593" s="21"/>
    </row>
    <row r="1594" customFormat="false" ht="15" hidden="false" customHeight="false" outlineLevel="0" collapsed="false">
      <c r="A1594" s="25"/>
      <c r="B1594" s="21"/>
      <c r="C1594" s="21"/>
      <c r="D1594" s="26" t="str">
        <f aca="false">IF(C1594="","",IFERROR(INDEX('Cadastro Mestre'!$C$5:$C$504,MATCH(C1594,'Cadastro Mestre'!$A$5:$A$504,0)),"código não encontrado"))</f>
        <v/>
      </c>
      <c r="E1594" s="24" t="str">
        <f aca="false">IF(C1594="","",IFERROR(INDEX('Cadastro Mestre'!$Q$5:$Q$504,MATCH(C1594,'Cadastro Mestre'!$A$5:$A$504,0)),""))</f>
        <v/>
      </c>
      <c r="F1594" s="21"/>
      <c r="G1594" s="21"/>
      <c r="H1594" s="21"/>
      <c r="I1594" s="21"/>
    </row>
    <row r="1595" customFormat="false" ht="15" hidden="false" customHeight="false" outlineLevel="0" collapsed="false">
      <c r="A1595" s="25"/>
      <c r="B1595" s="21"/>
      <c r="C1595" s="21"/>
      <c r="D1595" s="26" t="str">
        <f aca="false">IF(C1595="","",IFERROR(INDEX('Cadastro Mestre'!$C$5:$C$504,MATCH(C1595,'Cadastro Mestre'!$A$5:$A$504,0)),"código não encontrado"))</f>
        <v/>
      </c>
      <c r="E1595" s="24" t="str">
        <f aca="false">IF(C1595="","",IFERROR(INDEX('Cadastro Mestre'!$Q$5:$Q$504,MATCH(C1595,'Cadastro Mestre'!$A$5:$A$504,0)),""))</f>
        <v/>
      </c>
      <c r="F1595" s="21"/>
      <c r="G1595" s="21"/>
      <c r="H1595" s="21"/>
      <c r="I1595" s="21"/>
    </row>
    <row r="1596" customFormat="false" ht="15" hidden="false" customHeight="false" outlineLevel="0" collapsed="false">
      <c r="A1596" s="25"/>
      <c r="B1596" s="21"/>
      <c r="C1596" s="21"/>
      <c r="D1596" s="26" t="str">
        <f aca="false">IF(C1596="","",IFERROR(INDEX('Cadastro Mestre'!$C$5:$C$504,MATCH(C1596,'Cadastro Mestre'!$A$5:$A$504,0)),"código não encontrado"))</f>
        <v/>
      </c>
      <c r="E1596" s="24" t="str">
        <f aca="false">IF(C1596="","",IFERROR(INDEX('Cadastro Mestre'!$Q$5:$Q$504,MATCH(C1596,'Cadastro Mestre'!$A$5:$A$504,0)),""))</f>
        <v/>
      </c>
      <c r="F1596" s="21"/>
      <c r="G1596" s="21"/>
      <c r="H1596" s="21"/>
      <c r="I1596" s="21"/>
    </row>
    <row r="1597" customFormat="false" ht="15" hidden="false" customHeight="false" outlineLevel="0" collapsed="false">
      <c r="A1597" s="25"/>
      <c r="B1597" s="21"/>
      <c r="C1597" s="21"/>
      <c r="D1597" s="26" t="str">
        <f aca="false">IF(C1597="","",IFERROR(INDEX('Cadastro Mestre'!$C$5:$C$504,MATCH(C1597,'Cadastro Mestre'!$A$5:$A$504,0)),"código não encontrado"))</f>
        <v/>
      </c>
      <c r="E1597" s="24" t="str">
        <f aca="false">IF(C1597="","",IFERROR(INDEX('Cadastro Mestre'!$Q$5:$Q$504,MATCH(C1597,'Cadastro Mestre'!$A$5:$A$504,0)),""))</f>
        <v/>
      </c>
      <c r="F1597" s="21"/>
      <c r="G1597" s="21"/>
      <c r="H1597" s="21"/>
      <c r="I1597" s="21"/>
    </row>
    <row r="1598" customFormat="false" ht="15" hidden="false" customHeight="false" outlineLevel="0" collapsed="false">
      <c r="A1598" s="25"/>
      <c r="B1598" s="21"/>
      <c r="C1598" s="21"/>
      <c r="D1598" s="26" t="str">
        <f aca="false">IF(C1598="","",IFERROR(INDEX('Cadastro Mestre'!$C$5:$C$504,MATCH(C1598,'Cadastro Mestre'!$A$5:$A$504,0)),"código não encontrado"))</f>
        <v/>
      </c>
      <c r="E1598" s="24" t="str">
        <f aca="false">IF(C1598="","",IFERROR(INDEX('Cadastro Mestre'!$Q$5:$Q$504,MATCH(C1598,'Cadastro Mestre'!$A$5:$A$504,0)),""))</f>
        <v/>
      </c>
      <c r="F1598" s="21"/>
      <c r="G1598" s="21"/>
      <c r="H1598" s="21"/>
      <c r="I1598" s="21"/>
    </row>
    <row r="1599" customFormat="false" ht="15" hidden="false" customHeight="false" outlineLevel="0" collapsed="false">
      <c r="A1599" s="25"/>
      <c r="B1599" s="21"/>
      <c r="C1599" s="21"/>
      <c r="D1599" s="26" t="str">
        <f aca="false">IF(C1599="","",IFERROR(INDEX('Cadastro Mestre'!$C$5:$C$504,MATCH(C1599,'Cadastro Mestre'!$A$5:$A$504,0)),"código não encontrado"))</f>
        <v/>
      </c>
      <c r="E1599" s="24" t="str">
        <f aca="false">IF(C1599="","",IFERROR(INDEX('Cadastro Mestre'!$Q$5:$Q$504,MATCH(C1599,'Cadastro Mestre'!$A$5:$A$504,0)),""))</f>
        <v/>
      </c>
      <c r="F1599" s="21"/>
      <c r="G1599" s="21"/>
      <c r="H1599" s="21"/>
      <c r="I1599" s="21"/>
    </row>
    <row r="1600" customFormat="false" ht="15" hidden="false" customHeight="false" outlineLevel="0" collapsed="false">
      <c r="A1600" s="25"/>
      <c r="B1600" s="21"/>
      <c r="C1600" s="21"/>
      <c r="D1600" s="26" t="str">
        <f aca="false">IF(C1600="","",IFERROR(INDEX('Cadastro Mestre'!$C$5:$C$504,MATCH(C1600,'Cadastro Mestre'!$A$5:$A$504,0)),"código não encontrado"))</f>
        <v/>
      </c>
      <c r="E1600" s="24" t="str">
        <f aca="false">IF(C1600="","",IFERROR(INDEX('Cadastro Mestre'!$Q$5:$Q$504,MATCH(C1600,'Cadastro Mestre'!$A$5:$A$504,0)),""))</f>
        <v/>
      </c>
      <c r="F1600" s="21"/>
      <c r="G1600" s="21"/>
      <c r="H1600" s="21"/>
      <c r="I1600" s="21"/>
    </row>
    <row r="1601" customFormat="false" ht="15" hidden="false" customHeight="false" outlineLevel="0" collapsed="false">
      <c r="A1601" s="25"/>
      <c r="B1601" s="21"/>
      <c r="C1601" s="21"/>
      <c r="D1601" s="26" t="str">
        <f aca="false">IF(C1601="","",IFERROR(INDEX('Cadastro Mestre'!$C$5:$C$504,MATCH(C1601,'Cadastro Mestre'!$A$5:$A$504,0)),"código não encontrado"))</f>
        <v/>
      </c>
      <c r="E1601" s="24" t="str">
        <f aca="false">IF(C1601="","",IFERROR(INDEX('Cadastro Mestre'!$Q$5:$Q$504,MATCH(C1601,'Cadastro Mestre'!$A$5:$A$504,0)),""))</f>
        <v/>
      </c>
      <c r="F1601" s="21"/>
      <c r="G1601" s="21"/>
      <c r="H1601" s="21"/>
      <c r="I1601" s="21"/>
    </row>
    <row r="1602" customFormat="false" ht="15" hidden="false" customHeight="false" outlineLevel="0" collapsed="false">
      <c r="A1602" s="25"/>
      <c r="B1602" s="21"/>
      <c r="C1602" s="21"/>
      <c r="D1602" s="26" t="str">
        <f aca="false">IF(C1602="","",IFERROR(INDEX('Cadastro Mestre'!$C$5:$C$504,MATCH(C1602,'Cadastro Mestre'!$A$5:$A$504,0)),"código não encontrado"))</f>
        <v/>
      </c>
      <c r="E1602" s="24" t="str">
        <f aca="false">IF(C1602="","",IFERROR(INDEX('Cadastro Mestre'!$Q$5:$Q$504,MATCH(C1602,'Cadastro Mestre'!$A$5:$A$504,0)),""))</f>
        <v/>
      </c>
      <c r="F1602" s="21"/>
      <c r="G1602" s="21"/>
      <c r="H1602" s="21"/>
      <c r="I1602" s="21"/>
    </row>
    <row r="1603" customFormat="false" ht="15" hidden="false" customHeight="false" outlineLevel="0" collapsed="false">
      <c r="A1603" s="25"/>
      <c r="B1603" s="21"/>
      <c r="C1603" s="21"/>
      <c r="D1603" s="26" t="str">
        <f aca="false">IF(C1603="","",IFERROR(INDEX('Cadastro Mestre'!$C$5:$C$504,MATCH(C1603,'Cadastro Mestre'!$A$5:$A$504,0)),"código não encontrado"))</f>
        <v/>
      </c>
      <c r="E1603" s="24" t="str">
        <f aca="false">IF(C1603="","",IFERROR(INDEX('Cadastro Mestre'!$Q$5:$Q$504,MATCH(C1603,'Cadastro Mestre'!$A$5:$A$504,0)),""))</f>
        <v/>
      </c>
      <c r="F1603" s="21"/>
      <c r="G1603" s="21"/>
      <c r="H1603" s="21"/>
      <c r="I1603" s="21"/>
    </row>
    <row r="1604" customFormat="false" ht="15" hidden="false" customHeight="false" outlineLevel="0" collapsed="false">
      <c r="A1604" s="25"/>
      <c r="B1604" s="21"/>
      <c r="C1604" s="21"/>
      <c r="D1604" s="26" t="str">
        <f aca="false">IF(C1604="","",IFERROR(INDEX('Cadastro Mestre'!$C$5:$C$504,MATCH(C1604,'Cadastro Mestre'!$A$5:$A$504,0)),"código não encontrado"))</f>
        <v/>
      </c>
      <c r="E1604" s="24" t="str">
        <f aca="false">IF(C1604="","",IFERROR(INDEX('Cadastro Mestre'!$Q$5:$Q$504,MATCH(C1604,'Cadastro Mestre'!$A$5:$A$504,0)),""))</f>
        <v/>
      </c>
      <c r="F1604" s="21"/>
      <c r="G1604" s="21"/>
      <c r="H1604" s="21"/>
      <c r="I1604" s="21"/>
    </row>
    <row r="1605" customFormat="false" ht="15" hidden="false" customHeight="false" outlineLevel="0" collapsed="false">
      <c r="A1605" s="25"/>
      <c r="B1605" s="21"/>
      <c r="C1605" s="21"/>
      <c r="D1605" s="26" t="str">
        <f aca="false">IF(C1605="","",IFERROR(INDEX('Cadastro Mestre'!$C$5:$C$504,MATCH(C1605,'Cadastro Mestre'!$A$5:$A$504,0)),"código não encontrado"))</f>
        <v/>
      </c>
      <c r="E1605" s="24" t="str">
        <f aca="false">IF(C1605="","",IFERROR(INDEX('Cadastro Mestre'!$Q$5:$Q$504,MATCH(C1605,'Cadastro Mestre'!$A$5:$A$504,0)),""))</f>
        <v/>
      </c>
      <c r="F1605" s="21"/>
      <c r="G1605" s="21"/>
      <c r="H1605" s="21"/>
      <c r="I1605" s="21"/>
    </row>
    <row r="1606" customFormat="false" ht="15" hidden="false" customHeight="false" outlineLevel="0" collapsed="false">
      <c r="A1606" s="25"/>
      <c r="B1606" s="21"/>
      <c r="C1606" s="21"/>
      <c r="D1606" s="26" t="str">
        <f aca="false">IF(C1606="","",IFERROR(INDEX('Cadastro Mestre'!$C$5:$C$504,MATCH(C1606,'Cadastro Mestre'!$A$5:$A$504,0)),"código não encontrado"))</f>
        <v/>
      </c>
      <c r="E1606" s="24" t="str">
        <f aca="false">IF(C1606="","",IFERROR(INDEX('Cadastro Mestre'!$Q$5:$Q$504,MATCH(C1606,'Cadastro Mestre'!$A$5:$A$504,0)),""))</f>
        <v/>
      </c>
      <c r="F1606" s="21"/>
      <c r="G1606" s="21"/>
      <c r="H1606" s="21"/>
      <c r="I1606" s="21"/>
    </row>
    <row r="1607" customFormat="false" ht="15" hidden="false" customHeight="false" outlineLevel="0" collapsed="false">
      <c r="A1607" s="25"/>
      <c r="B1607" s="21"/>
      <c r="C1607" s="21"/>
      <c r="D1607" s="26" t="str">
        <f aca="false">IF(C1607="","",IFERROR(INDEX('Cadastro Mestre'!$C$5:$C$504,MATCH(C1607,'Cadastro Mestre'!$A$5:$A$504,0)),"código não encontrado"))</f>
        <v/>
      </c>
      <c r="E1607" s="24" t="str">
        <f aca="false">IF(C1607="","",IFERROR(INDEX('Cadastro Mestre'!$Q$5:$Q$504,MATCH(C1607,'Cadastro Mestre'!$A$5:$A$504,0)),""))</f>
        <v/>
      </c>
      <c r="F1607" s="21"/>
      <c r="G1607" s="21"/>
      <c r="H1607" s="21"/>
      <c r="I1607" s="21"/>
    </row>
    <row r="1608" customFormat="false" ht="15" hidden="false" customHeight="false" outlineLevel="0" collapsed="false">
      <c r="A1608" s="25"/>
      <c r="B1608" s="21"/>
      <c r="C1608" s="21"/>
      <c r="D1608" s="26" t="str">
        <f aca="false">IF(C1608="","",IFERROR(INDEX('Cadastro Mestre'!$C$5:$C$504,MATCH(C1608,'Cadastro Mestre'!$A$5:$A$504,0)),"código não encontrado"))</f>
        <v/>
      </c>
      <c r="E1608" s="24" t="str">
        <f aca="false">IF(C1608="","",IFERROR(INDEX('Cadastro Mestre'!$Q$5:$Q$504,MATCH(C1608,'Cadastro Mestre'!$A$5:$A$504,0)),""))</f>
        <v/>
      </c>
      <c r="F1608" s="21"/>
      <c r="G1608" s="21"/>
      <c r="H1608" s="21"/>
      <c r="I1608" s="21"/>
    </row>
    <row r="1609" customFormat="false" ht="15" hidden="false" customHeight="false" outlineLevel="0" collapsed="false">
      <c r="A1609" s="25"/>
      <c r="B1609" s="21"/>
      <c r="C1609" s="21"/>
      <c r="D1609" s="26" t="str">
        <f aca="false">IF(C1609="","",IFERROR(INDEX('Cadastro Mestre'!$C$5:$C$504,MATCH(C1609,'Cadastro Mestre'!$A$5:$A$504,0)),"código não encontrado"))</f>
        <v/>
      </c>
      <c r="E1609" s="24" t="str">
        <f aca="false">IF(C1609="","",IFERROR(INDEX('Cadastro Mestre'!$Q$5:$Q$504,MATCH(C1609,'Cadastro Mestre'!$A$5:$A$504,0)),""))</f>
        <v/>
      </c>
      <c r="F1609" s="21"/>
      <c r="G1609" s="21"/>
      <c r="H1609" s="21"/>
      <c r="I1609" s="21"/>
    </row>
    <row r="1610" customFormat="false" ht="15" hidden="false" customHeight="false" outlineLevel="0" collapsed="false">
      <c r="A1610" s="25"/>
      <c r="B1610" s="21"/>
      <c r="C1610" s="21"/>
      <c r="D1610" s="26" t="str">
        <f aca="false">IF(C1610="","",IFERROR(INDEX('Cadastro Mestre'!$C$5:$C$504,MATCH(C1610,'Cadastro Mestre'!$A$5:$A$504,0)),"código não encontrado"))</f>
        <v/>
      </c>
      <c r="E1610" s="24" t="str">
        <f aca="false">IF(C1610="","",IFERROR(INDEX('Cadastro Mestre'!$Q$5:$Q$504,MATCH(C1610,'Cadastro Mestre'!$A$5:$A$504,0)),""))</f>
        <v/>
      </c>
      <c r="F1610" s="21"/>
      <c r="G1610" s="21"/>
      <c r="H1610" s="21"/>
      <c r="I1610" s="21"/>
    </row>
    <row r="1611" customFormat="false" ht="15" hidden="false" customHeight="false" outlineLevel="0" collapsed="false">
      <c r="A1611" s="25"/>
      <c r="B1611" s="21"/>
      <c r="C1611" s="21"/>
      <c r="D1611" s="26" t="str">
        <f aca="false">IF(C1611="","",IFERROR(INDEX('Cadastro Mestre'!$C$5:$C$504,MATCH(C1611,'Cadastro Mestre'!$A$5:$A$504,0)),"código não encontrado"))</f>
        <v/>
      </c>
      <c r="E1611" s="24" t="str">
        <f aca="false">IF(C1611="","",IFERROR(INDEX('Cadastro Mestre'!$Q$5:$Q$504,MATCH(C1611,'Cadastro Mestre'!$A$5:$A$504,0)),""))</f>
        <v/>
      </c>
      <c r="F1611" s="21"/>
      <c r="G1611" s="21"/>
      <c r="H1611" s="21"/>
      <c r="I1611" s="21"/>
    </row>
    <row r="1612" customFormat="false" ht="15" hidden="false" customHeight="false" outlineLevel="0" collapsed="false">
      <c r="A1612" s="25"/>
      <c r="B1612" s="21"/>
      <c r="C1612" s="21"/>
      <c r="D1612" s="26" t="str">
        <f aca="false">IF(C1612="","",IFERROR(INDEX('Cadastro Mestre'!$C$5:$C$504,MATCH(C1612,'Cadastro Mestre'!$A$5:$A$504,0)),"código não encontrado"))</f>
        <v/>
      </c>
      <c r="E1612" s="24" t="str">
        <f aca="false">IF(C1612="","",IFERROR(INDEX('Cadastro Mestre'!$Q$5:$Q$504,MATCH(C1612,'Cadastro Mestre'!$A$5:$A$504,0)),""))</f>
        <v/>
      </c>
      <c r="F1612" s="21"/>
      <c r="G1612" s="21"/>
      <c r="H1612" s="21"/>
      <c r="I1612" s="21"/>
    </row>
    <row r="1613" customFormat="false" ht="15" hidden="false" customHeight="false" outlineLevel="0" collapsed="false">
      <c r="A1613" s="25"/>
      <c r="B1613" s="21"/>
      <c r="C1613" s="21"/>
      <c r="D1613" s="26" t="str">
        <f aca="false">IF(C1613="","",IFERROR(INDEX('Cadastro Mestre'!$C$5:$C$504,MATCH(C1613,'Cadastro Mestre'!$A$5:$A$504,0)),"código não encontrado"))</f>
        <v/>
      </c>
      <c r="E1613" s="24" t="str">
        <f aca="false">IF(C1613="","",IFERROR(INDEX('Cadastro Mestre'!$Q$5:$Q$504,MATCH(C1613,'Cadastro Mestre'!$A$5:$A$504,0)),""))</f>
        <v/>
      </c>
      <c r="F1613" s="21"/>
      <c r="G1613" s="21"/>
      <c r="H1613" s="21"/>
      <c r="I1613" s="21"/>
    </row>
    <row r="1614" customFormat="false" ht="15" hidden="false" customHeight="false" outlineLevel="0" collapsed="false">
      <c r="A1614" s="25"/>
      <c r="B1614" s="21"/>
      <c r="C1614" s="21"/>
      <c r="D1614" s="26" t="str">
        <f aca="false">IF(C1614="","",IFERROR(INDEX('Cadastro Mestre'!$C$5:$C$504,MATCH(C1614,'Cadastro Mestre'!$A$5:$A$504,0)),"código não encontrado"))</f>
        <v/>
      </c>
      <c r="E1614" s="24" t="str">
        <f aca="false">IF(C1614="","",IFERROR(INDEX('Cadastro Mestre'!$Q$5:$Q$504,MATCH(C1614,'Cadastro Mestre'!$A$5:$A$504,0)),""))</f>
        <v/>
      </c>
      <c r="F1614" s="21"/>
      <c r="G1614" s="21"/>
      <c r="H1614" s="21"/>
      <c r="I1614" s="21"/>
    </row>
    <row r="1615" customFormat="false" ht="15" hidden="false" customHeight="false" outlineLevel="0" collapsed="false">
      <c r="A1615" s="25"/>
      <c r="B1615" s="21"/>
      <c r="C1615" s="21"/>
      <c r="D1615" s="26" t="str">
        <f aca="false">IF(C1615="","",IFERROR(INDEX('Cadastro Mestre'!$C$5:$C$504,MATCH(C1615,'Cadastro Mestre'!$A$5:$A$504,0)),"código não encontrado"))</f>
        <v/>
      </c>
      <c r="E1615" s="24" t="str">
        <f aca="false">IF(C1615="","",IFERROR(INDEX('Cadastro Mestre'!$Q$5:$Q$504,MATCH(C1615,'Cadastro Mestre'!$A$5:$A$504,0)),""))</f>
        <v/>
      </c>
      <c r="F1615" s="21"/>
      <c r="G1615" s="21"/>
      <c r="H1615" s="21"/>
      <c r="I1615" s="21"/>
    </row>
    <row r="1616" customFormat="false" ht="15" hidden="false" customHeight="false" outlineLevel="0" collapsed="false">
      <c r="A1616" s="25"/>
      <c r="B1616" s="21"/>
      <c r="C1616" s="21"/>
      <c r="D1616" s="26" t="str">
        <f aca="false">IF(C1616="","",IFERROR(INDEX('Cadastro Mestre'!$C$5:$C$504,MATCH(C1616,'Cadastro Mestre'!$A$5:$A$504,0)),"código não encontrado"))</f>
        <v/>
      </c>
      <c r="E1616" s="24" t="str">
        <f aca="false">IF(C1616="","",IFERROR(INDEX('Cadastro Mestre'!$Q$5:$Q$504,MATCH(C1616,'Cadastro Mestre'!$A$5:$A$504,0)),""))</f>
        <v/>
      </c>
      <c r="F1616" s="21"/>
      <c r="G1616" s="21"/>
      <c r="H1616" s="21"/>
      <c r="I1616" s="21"/>
    </row>
    <row r="1617" customFormat="false" ht="15" hidden="false" customHeight="false" outlineLevel="0" collapsed="false">
      <c r="A1617" s="25"/>
      <c r="B1617" s="21"/>
      <c r="C1617" s="21"/>
      <c r="D1617" s="26" t="str">
        <f aca="false">IF(C1617="","",IFERROR(INDEX('Cadastro Mestre'!$C$5:$C$504,MATCH(C1617,'Cadastro Mestre'!$A$5:$A$504,0)),"código não encontrado"))</f>
        <v/>
      </c>
      <c r="E1617" s="24" t="str">
        <f aca="false">IF(C1617="","",IFERROR(INDEX('Cadastro Mestre'!$Q$5:$Q$504,MATCH(C1617,'Cadastro Mestre'!$A$5:$A$504,0)),""))</f>
        <v/>
      </c>
      <c r="F1617" s="21"/>
      <c r="G1617" s="21"/>
      <c r="H1617" s="21"/>
      <c r="I1617" s="21"/>
    </row>
    <row r="1618" customFormat="false" ht="15" hidden="false" customHeight="false" outlineLevel="0" collapsed="false">
      <c r="A1618" s="25"/>
      <c r="B1618" s="21"/>
      <c r="C1618" s="21"/>
      <c r="D1618" s="26" t="str">
        <f aca="false">IF(C1618="","",IFERROR(INDEX('Cadastro Mestre'!$C$5:$C$504,MATCH(C1618,'Cadastro Mestre'!$A$5:$A$504,0)),"código não encontrado"))</f>
        <v/>
      </c>
      <c r="E1618" s="24" t="str">
        <f aca="false">IF(C1618="","",IFERROR(INDEX('Cadastro Mestre'!$Q$5:$Q$504,MATCH(C1618,'Cadastro Mestre'!$A$5:$A$504,0)),""))</f>
        <v/>
      </c>
      <c r="F1618" s="21"/>
      <c r="G1618" s="21"/>
      <c r="H1618" s="21"/>
      <c r="I1618" s="21"/>
    </row>
    <row r="1619" customFormat="false" ht="15" hidden="false" customHeight="false" outlineLevel="0" collapsed="false">
      <c r="A1619" s="25"/>
      <c r="B1619" s="21"/>
      <c r="C1619" s="21"/>
      <c r="D1619" s="26" t="str">
        <f aca="false">IF(C1619="","",IFERROR(INDEX('Cadastro Mestre'!$C$5:$C$504,MATCH(C1619,'Cadastro Mestre'!$A$5:$A$504,0)),"código não encontrado"))</f>
        <v/>
      </c>
      <c r="E1619" s="24" t="str">
        <f aca="false">IF(C1619="","",IFERROR(INDEX('Cadastro Mestre'!$Q$5:$Q$504,MATCH(C1619,'Cadastro Mestre'!$A$5:$A$504,0)),""))</f>
        <v/>
      </c>
      <c r="F1619" s="21"/>
      <c r="G1619" s="21"/>
      <c r="H1619" s="21"/>
      <c r="I1619" s="21"/>
    </row>
    <row r="1620" customFormat="false" ht="15" hidden="false" customHeight="false" outlineLevel="0" collapsed="false">
      <c r="A1620" s="25"/>
      <c r="B1620" s="21"/>
      <c r="C1620" s="21"/>
      <c r="D1620" s="26" t="str">
        <f aca="false">IF(C1620="","",IFERROR(INDEX('Cadastro Mestre'!$C$5:$C$504,MATCH(C1620,'Cadastro Mestre'!$A$5:$A$504,0)),"código não encontrado"))</f>
        <v/>
      </c>
      <c r="E1620" s="24" t="str">
        <f aca="false">IF(C1620="","",IFERROR(INDEX('Cadastro Mestre'!$Q$5:$Q$504,MATCH(C1620,'Cadastro Mestre'!$A$5:$A$504,0)),""))</f>
        <v/>
      </c>
      <c r="F1620" s="21"/>
      <c r="G1620" s="21"/>
      <c r="H1620" s="21"/>
      <c r="I1620" s="21"/>
    </row>
    <row r="1621" customFormat="false" ht="15" hidden="false" customHeight="false" outlineLevel="0" collapsed="false">
      <c r="A1621" s="25"/>
      <c r="B1621" s="21"/>
      <c r="C1621" s="21"/>
      <c r="D1621" s="26" t="str">
        <f aca="false">IF(C1621="","",IFERROR(INDEX('Cadastro Mestre'!$C$5:$C$504,MATCH(C1621,'Cadastro Mestre'!$A$5:$A$504,0)),"código não encontrado"))</f>
        <v/>
      </c>
      <c r="E1621" s="24" t="str">
        <f aca="false">IF(C1621="","",IFERROR(INDEX('Cadastro Mestre'!$Q$5:$Q$504,MATCH(C1621,'Cadastro Mestre'!$A$5:$A$504,0)),""))</f>
        <v/>
      </c>
      <c r="F1621" s="21"/>
      <c r="G1621" s="21"/>
      <c r="H1621" s="21"/>
      <c r="I1621" s="21"/>
    </row>
    <row r="1622" customFormat="false" ht="15" hidden="false" customHeight="false" outlineLevel="0" collapsed="false">
      <c r="A1622" s="25"/>
      <c r="B1622" s="21"/>
      <c r="C1622" s="21"/>
      <c r="D1622" s="26" t="str">
        <f aca="false">IF(C1622="","",IFERROR(INDEX('Cadastro Mestre'!$C$5:$C$504,MATCH(C1622,'Cadastro Mestre'!$A$5:$A$504,0)),"código não encontrado"))</f>
        <v/>
      </c>
      <c r="E1622" s="24" t="str">
        <f aca="false">IF(C1622="","",IFERROR(INDEX('Cadastro Mestre'!$Q$5:$Q$504,MATCH(C1622,'Cadastro Mestre'!$A$5:$A$504,0)),""))</f>
        <v/>
      </c>
      <c r="F1622" s="21"/>
      <c r="G1622" s="21"/>
      <c r="H1622" s="21"/>
      <c r="I1622" s="21"/>
    </row>
    <row r="1623" customFormat="false" ht="15" hidden="false" customHeight="false" outlineLevel="0" collapsed="false">
      <c r="A1623" s="25"/>
      <c r="B1623" s="21"/>
      <c r="C1623" s="21"/>
      <c r="D1623" s="26" t="str">
        <f aca="false">IF(C1623="","",IFERROR(INDEX('Cadastro Mestre'!$C$5:$C$504,MATCH(C1623,'Cadastro Mestre'!$A$5:$A$504,0)),"código não encontrado"))</f>
        <v/>
      </c>
      <c r="E1623" s="24" t="str">
        <f aca="false">IF(C1623="","",IFERROR(INDEX('Cadastro Mestre'!$Q$5:$Q$504,MATCH(C1623,'Cadastro Mestre'!$A$5:$A$504,0)),""))</f>
        <v/>
      </c>
      <c r="F1623" s="21"/>
      <c r="G1623" s="21"/>
      <c r="H1623" s="21"/>
      <c r="I1623" s="21"/>
    </row>
    <row r="1624" customFormat="false" ht="15" hidden="false" customHeight="false" outlineLevel="0" collapsed="false">
      <c r="A1624" s="25"/>
      <c r="B1624" s="21"/>
      <c r="C1624" s="21"/>
      <c r="D1624" s="26" t="str">
        <f aca="false">IF(C1624="","",IFERROR(INDEX('Cadastro Mestre'!$C$5:$C$504,MATCH(C1624,'Cadastro Mestre'!$A$5:$A$504,0)),"código não encontrado"))</f>
        <v/>
      </c>
      <c r="E1624" s="24" t="str">
        <f aca="false">IF(C1624="","",IFERROR(INDEX('Cadastro Mestre'!$Q$5:$Q$504,MATCH(C1624,'Cadastro Mestre'!$A$5:$A$504,0)),""))</f>
        <v/>
      </c>
      <c r="F1624" s="21"/>
      <c r="G1624" s="21"/>
      <c r="H1624" s="21"/>
      <c r="I1624" s="21"/>
    </row>
    <row r="1625" customFormat="false" ht="15" hidden="false" customHeight="false" outlineLevel="0" collapsed="false">
      <c r="A1625" s="25"/>
      <c r="B1625" s="21"/>
      <c r="C1625" s="21"/>
      <c r="D1625" s="26" t="str">
        <f aca="false">IF(C1625="","",IFERROR(INDEX('Cadastro Mestre'!$C$5:$C$504,MATCH(C1625,'Cadastro Mestre'!$A$5:$A$504,0)),"código não encontrado"))</f>
        <v/>
      </c>
      <c r="E1625" s="24" t="str">
        <f aca="false">IF(C1625="","",IFERROR(INDEX('Cadastro Mestre'!$Q$5:$Q$504,MATCH(C1625,'Cadastro Mestre'!$A$5:$A$504,0)),""))</f>
        <v/>
      </c>
      <c r="F1625" s="21"/>
      <c r="G1625" s="21"/>
      <c r="H1625" s="21"/>
      <c r="I1625" s="21"/>
    </row>
    <row r="1626" customFormat="false" ht="15" hidden="false" customHeight="false" outlineLevel="0" collapsed="false">
      <c r="A1626" s="25"/>
      <c r="B1626" s="21"/>
      <c r="C1626" s="21"/>
      <c r="D1626" s="26" t="str">
        <f aca="false">IF(C1626="","",IFERROR(INDEX('Cadastro Mestre'!$C$5:$C$504,MATCH(C1626,'Cadastro Mestre'!$A$5:$A$504,0)),"código não encontrado"))</f>
        <v/>
      </c>
      <c r="E1626" s="24" t="str">
        <f aca="false">IF(C1626="","",IFERROR(INDEX('Cadastro Mestre'!$Q$5:$Q$504,MATCH(C1626,'Cadastro Mestre'!$A$5:$A$504,0)),""))</f>
        <v/>
      </c>
      <c r="F1626" s="21"/>
      <c r="G1626" s="21"/>
      <c r="H1626" s="21"/>
      <c r="I1626" s="21"/>
    </row>
    <row r="1627" customFormat="false" ht="15" hidden="false" customHeight="false" outlineLevel="0" collapsed="false">
      <c r="A1627" s="25"/>
      <c r="B1627" s="21"/>
      <c r="C1627" s="21"/>
      <c r="D1627" s="26" t="str">
        <f aca="false">IF(C1627="","",IFERROR(INDEX('Cadastro Mestre'!$C$5:$C$504,MATCH(C1627,'Cadastro Mestre'!$A$5:$A$504,0)),"código não encontrado"))</f>
        <v/>
      </c>
      <c r="E1627" s="24" t="str">
        <f aca="false">IF(C1627="","",IFERROR(INDEX('Cadastro Mestre'!$Q$5:$Q$504,MATCH(C1627,'Cadastro Mestre'!$A$5:$A$504,0)),""))</f>
        <v/>
      </c>
      <c r="F1627" s="21"/>
      <c r="G1627" s="21"/>
      <c r="H1627" s="21"/>
      <c r="I1627" s="21"/>
    </row>
    <row r="1628" customFormat="false" ht="15" hidden="false" customHeight="false" outlineLevel="0" collapsed="false">
      <c r="A1628" s="25"/>
      <c r="B1628" s="21"/>
      <c r="C1628" s="21"/>
      <c r="D1628" s="26" t="str">
        <f aca="false">IF(C1628="","",IFERROR(INDEX('Cadastro Mestre'!$C$5:$C$504,MATCH(C1628,'Cadastro Mestre'!$A$5:$A$504,0)),"código não encontrado"))</f>
        <v/>
      </c>
      <c r="E1628" s="24" t="str">
        <f aca="false">IF(C1628="","",IFERROR(INDEX('Cadastro Mestre'!$Q$5:$Q$504,MATCH(C1628,'Cadastro Mestre'!$A$5:$A$504,0)),""))</f>
        <v/>
      </c>
      <c r="F1628" s="21"/>
      <c r="G1628" s="21"/>
      <c r="H1628" s="21"/>
      <c r="I1628" s="21"/>
    </row>
    <row r="1629" customFormat="false" ht="15" hidden="false" customHeight="false" outlineLevel="0" collapsed="false">
      <c r="A1629" s="25"/>
      <c r="B1629" s="21"/>
      <c r="C1629" s="21"/>
      <c r="D1629" s="26" t="str">
        <f aca="false">IF(C1629="","",IFERROR(INDEX('Cadastro Mestre'!$C$5:$C$504,MATCH(C1629,'Cadastro Mestre'!$A$5:$A$504,0)),"código não encontrado"))</f>
        <v/>
      </c>
      <c r="E1629" s="24" t="str">
        <f aca="false">IF(C1629="","",IFERROR(INDEX('Cadastro Mestre'!$Q$5:$Q$504,MATCH(C1629,'Cadastro Mestre'!$A$5:$A$504,0)),""))</f>
        <v/>
      </c>
      <c r="F1629" s="21"/>
      <c r="G1629" s="21"/>
      <c r="H1629" s="21"/>
      <c r="I1629" s="21"/>
    </row>
    <row r="1630" customFormat="false" ht="15" hidden="false" customHeight="false" outlineLevel="0" collapsed="false">
      <c r="A1630" s="25"/>
      <c r="B1630" s="21"/>
      <c r="C1630" s="21"/>
      <c r="D1630" s="26" t="str">
        <f aca="false">IF(C1630="","",IFERROR(INDEX('Cadastro Mestre'!$C$5:$C$504,MATCH(C1630,'Cadastro Mestre'!$A$5:$A$504,0)),"código não encontrado"))</f>
        <v/>
      </c>
      <c r="E1630" s="24" t="str">
        <f aca="false">IF(C1630="","",IFERROR(INDEX('Cadastro Mestre'!$Q$5:$Q$504,MATCH(C1630,'Cadastro Mestre'!$A$5:$A$504,0)),""))</f>
        <v/>
      </c>
      <c r="F1630" s="21"/>
      <c r="G1630" s="21"/>
      <c r="H1630" s="21"/>
      <c r="I1630" s="21"/>
    </row>
    <row r="1631" customFormat="false" ht="15" hidden="false" customHeight="false" outlineLevel="0" collapsed="false">
      <c r="A1631" s="25"/>
      <c r="B1631" s="21"/>
      <c r="C1631" s="21"/>
      <c r="D1631" s="26" t="str">
        <f aca="false">IF(C1631="","",IFERROR(INDEX('Cadastro Mestre'!$C$5:$C$504,MATCH(C1631,'Cadastro Mestre'!$A$5:$A$504,0)),"código não encontrado"))</f>
        <v/>
      </c>
      <c r="E1631" s="24" t="str">
        <f aca="false">IF(C1631="","",IFERROR(INDEX('Cadastro Mestre'!$Q$5:$Q$504,MATCH(C1631,'Cadastro Mestre'!$A$5:$A$504,0)),""))</f>
        <v/>
      </c>
      <c r="F1631" s="21"/>
      <c r="G1631" s="21"/>
      <c r="H1631" s="21"/>
      <c r="I1631" s="21"/>
    </row>
    <row r="1632" customFormat="false" ht="15" hidden="false" customHeight="false" outlineLevel="0" collapsed="false">
      <c r="A1632" s="25"/>
      <c r="B1632" s="21"/>
      <c r="C1632" s="21"/>
      <c r="D1632" s="26" t="str">
        <f aca="false">IF(C1632="","",IFERROR(INDEX('Cadastro Mestre'!$C$5:$C$504,MATCH(C1632,'Cadastro Mestre'!$A$5:$A$504,0)),"código não encontrado"))</f>
        <v/>
      </c>
      <c r="E1632" s="24" t="str">
        <f aca="false">IF(C1632="","",IFERROR(INDEX('Cadastro Mestre'!$Q$5:$Q$504,MATCH(C1632,'Cadastro Mestre'!$A$5:$A$504,0)),""))</f>
        <v/>
      </c>
      <c r="F1632" s="21"/>
      <c r="G1632" s="21"/>
      <c r="H1632" s="21"/>
      <c r="I1632" s="21"/>
    </row>
    <row r="1633" customFormat="false" ht="15" hidden="false" customHeight="false" outlineLevel="0" collapsed="false">
      <c r="A1633" s="25"/>
      <c r="B1633" s="21"/>
      <c r="C1633" s="21"/>
      <c r="D1633" s="26" t="str">
        <f aca="false">IF(C1633="","",IFERROR(INDEX('Cadastro Mestre'!$C$5:$C$504,MATCH(C1633,'Cadastro Mestre'!$A$5:$A$504,0)),"código não encontrado"))</f>
        <v/>
      </c>
      <c r="E1633" s="24" t="str">
        <f aca="false">IF(C1633="","",IFERROR(INDEX('Cadastro Mestre'!$Q$5:$Q$504,MATCH(C1633,'Cadastro Mestre'!$A$5:$A$504,0)),""))</f>
        <v/>
      </c>
      <c r="F1633" s="21"/>
      <c r="G1633" s="21"/>
      <c r="H1633" s="21"/>
      <c r="I1633" s="21"/>
    </row>
    <row r="1634" customFormat="false" ht="15" hidden="false" customHeight="false" outlineLevel="0" collapsed="false">
      <c r="A1634" s="25"/>
      <c r="B1634" s="21"/>
      <c r="C1634" s="21"/>
      <c r="D1634" s="26" t="str">
        <f aca="false">IF(C1634="","",IFERROR(INDEX('Cadastro Mestre'!$C$5:$C$504,MATCH(C1634,'Cadastro Mestre'!$A$5:$A$504,0)),"código não encontrado"))</f>
        <v/>
      </c>
      <c r="E1634" s="24" t="str">
        <f aca="false">IF(C1634="","",IFERROR(INDEX('Cadastro Mestre'!$Q$5:$Q$504,MATCH(C1634,'Cadastro Mestre'!$A$5:$A$504,0)),""))</f>
        <v/>
      </c>
      <c r="F1634" s="21"/>
      <c r="G1634" s="21"/>
      <c r="H1634" s="21"/>
      <c r="I1634" s="21"/>
    </row>
    <row r="1635" customFormat="false" ht="15" hidden="false" customHeight="false" outlineLevel="0" collapsed="false">
      <c r="A1635" s="25"/>
      <c r="B1635" s="21"/>
      <c r="C1635" s="21"/>
      <c r="D1635" s="26" t="str">
        <f aca="false">IF(C1635="","",IFERROR(INDEX('Cadastro Mestre'!$C$5:$C$504,MATCH(C1635,'Cadastro Mestre'!$A$5:$A$504,0)),"código não encontrado"))</f>
        <v/>
      </c>
      <c r="E1635" s="24" t="str">
        <f aca="false">IF(C1635="","",IFERROR(INDEX('Cadastro Mestre'!$Q$5:$Q$504,MATCH(C1635,'Cadastro Mestre'!$A$5:$A$504,0)),""))</f>
        <v/>
      </c>
      <c r="F1635" s="21"/>
      <c r="G1635" s="21"/>
      <c r="H1635" s="21"/>
      <c r="I1635" s="21"/>
    </row>
    <row r="1636" customFormat="false" ht="15" hidden="false" customHeight="false" outlineLevel="0" collapsed="false">
      <c r="A1636" s="25"/>
      <c r="B1636" s="21"/>
      <c r="C1636" s="21"/>
      <c r="D1636" s="26" t="str">
        <f aca="false">IF(C1636="","",IFERROR(INDEX('Cadastro Mestre'!$C$5:$C$504,MATCH(C1636,'Cadastro Mestre'!$A$5:$A$504,0)),"código não encontrado"))</f>
        <v/>
      </c>
      <c r="E1636" s="24" t="str">
        <f aca="false">IF(C1636="","",IFERROR(INDEX('Cadastro Mestre'!$Q$5:$Q$504,MATCH(C1636,'Cadastro Mestre'!$A$5:$A$504,0)),""))</f>
        <v/>
      </c>
      <c r="F1636" s="21"/>
      <c r="G1636" s="21"/>
      <c r="H1636" s="21"/>
      <c r="I1636" s="21"/>
    </row>
    <row r="1637" customFormat="false" ht="15" hidden="false" customHeight="false" outlineLevel="0" collapsed="false">
      <c r="A1637" s="25"/>
      <c r="B1637" s="21"/>
      <c r="C1637" s="21"/>
      <c r="D1637" s="26" t="str">
        <f aca="false">IF(C1637="","",IFERROR(INDEX('Cadastro Mestre'!$C$5:$C$504,MATCH(C1637,'Cadastro Mestre'!$A$5:$A$504,0)),"código não encontrado"))</f>
        <v/>
      </c>
      <c r="E1637" s="24" t="str">
        <f aca="false">IF(C1637="","",IFERROR(INDEX('Cadastro Mestre'!$Q$5:$Q$504,MATCH(C1637,'Cadastro Mestre'!$A$5:$A$504,0)),""))</f>
        <v/>
      </c>
      <c r="F1637" s="21"/>
      <c r="G1637" s="21"/>
      <c r="H1637" s="21"/>
      <c r="I1637" s="21"/>
    </row>
    <row r="1638" customFormat="false" ht="15" hidden="false" customHeight="false" outlineLevel="0" collapsed="false">
      <c r="A1638" s="25"/>
      <c r="B1638" s="21"/>
      <c r="C1638" s="21"/>
      <c r="D1638" s="26" t="str">
        <f aca="false">IF(C1638="","",IFERROR(INDEX('Cadastro Mestre'!$C$5:$C$504,MATCH(C1638,'Cadastro Mestre'!$A$5:$A$504,0)),"código não encontrado"))</f>
        <v/>
      </c>
      <c r="E1638" s="24" t="str">
        <f aca="false">IF(C1638="","",IFERROR(INDEX('Cadastro Mestre'!$Q$5:$Q$504,MATCH(C1638,'Cadastro Mestre'!$A$5:$A$504,0)),""))</f>
        <v/>
      </c>
      <c r="F1638" s="21"/>
      <c r="G1638" s="21"/>
      <c r="H1638" s="21"/>
      <c r="I1638" s="21"/>
    </row>
    <row r="1639" customFormat="false" ht="15" hidden="false" customHeight="false" outlineLevel="0" collapsed="false">
      <c r="A1639" s="25"/>
      <c r="B1639" s="21"/>
      <c r="C1639" s="21"/>
      <c r="D1639" s="26" t="str">
        <f aca="false">IF(C1639="","",IFERROR(INDEX('Cadastro Mestre'!$C$5:$C$504,MATCH(C1639,'Cadastro Mestre'!$A$5:$A$504,0)),"código não encontrado"))</f>
        <v/>
      </c>
      <c r="E1639" s="24" t="str">
        <f aca="false">IF(C1639="","",IFERROR(INDEX('Cadastro Mestre'!$Q$5:$Q$504,MATCH(C1639,'Cadastro Mestre'!$A$5:$A$504,0)),""))</f>
        <v/>
      </c>
      <c r="F1639" s="21"/>
      <c r="G1639" s="21"/>
      <c r="H1639" s="21"/>
      <c r="I1639" s="21"/>
    </row>
    <row r="1640" customFormat="false" ht="15" hidden="false" customHeight="false" outlineLevel="0" collapsed="false">
      <c r="A1640" s="25"/>
      <c r="B1640" s="21"/>
      <c r="C1640" s="21"/>
      <c r="D1640" s="26" t="str">
        <f aca="false">IF(C1640="","",IFERROR(INDEX('Cadastro Mestre'!$C$5:$C$504,MATCH(C1640,'Cadastro Mestre'!$A$5:$A$504,0)),"código não encontrado"))</f>
        <v/>
      </c>
      <c r="E1640" s="24" t="str">
        <f aca="false">IF(C1640="","",IFERROR(INDEX('Cadastro Mestre'!$Q$5:$Q$504,MATCH(C1640,'Cadastro Mestre'!$A$5:$A$504,0)),""))</f>
        <v/>
      </c>
      <c r="F1640" s="21"/>
      <c r="G1640" s="21"/>
      <c r="H1640" s="21"/>
      <c r="I1640" s="21"/>
    </row>
    <row r="1641" customFormat="false" ht="15" hidden="false" customHeight="false" outlineLevel="0" collapsed="false">
      <c r="A1641" s="25"/>
      <c r="B1641" s="21"/>
      <c r="C1641" s="21"/>
      <c r="D1641" s="26" t="str">
        <f aca="false">IF(C1641="","",IFERROR(INDEX('Cadastro Mestre'!$C$5:$C$504,MATCH(C1641,'Cadastro Mestre'!$A$5:$A$504,0)),"código não encontrado"))</f>
        <v/>
      </c>
      <c r="E1641" s="24" t="str">
        <f aca="false">IF(C1641="","",IFERROR(INDEX('Cadastro Mestre'!$Q$5:$Q$504,MATCH(C1641,'Cadastro Mestre'!$A$5:$A$504,0)),""))</f>
        <v/>
      </c>
      <c r="F1641" s="21"/>
      <c r="G1641" s="21"/>
      <c r="H1641" s="21"/>
      <c r="I1641" s="21"/>
    </row>
    <row r="1642" customFormat="false" ht="15" hidden="false" customHeight="false" outlineLevel="0" collapsed="false">
      <c r="A1642" s="25"/>
      <c r="B1642" s="21"/>
      <c r="C1642" s="21"/>
      <c r="D1642" s="26" t="str">
        <f aca="false">IF(C1642="","",IFERROR(INDEX('Cadastro Mestre'!$C$5:$C$504,MATCH(C1642,'Cadastro Mestre'!$A$5:$A$504,0)),"código não encontrado"))</f>
        <v/>
      </c>
      <c r="E1642" s="24" t="str">
        <f aca="false">IF(C1642="","",IFERROR(INDEX('Cadastro Mestre'!$Q$5:$Q$504,MATCH(C1642,'Cadastro Mestre'!$A$5:$A$504,0)),""))</f>
        <v/>
      </c>
      <c r="F1642" s="21"/>
      <c r="G1642" s="21"/>
      <c r="H1642" s="21"/>
      <c r="I1642" s="21"/>
    </row>
    <row r="1643" customFormat="false" ht="15" hidden="false" customHeight="false" outlineLevel="0" collapsed="false">
      <c r="A1643" s="25"/>
      <c r="B1643" s="21"/>
      <c r="C1643" s="21"/>
      <c r="D1643" s="26" t="str">
        <f aca="false">IF(C1643="","",IFERROR(INDEX('Cadastro Mestre'!$C$5:$C$504,MATCH(C1643,'Cadastro Mestre'!$A$5:$A$504,0)),"código não encontrado"))</f>
        <v/>
      </c>
      <c r="E1643" s="24" t="str">
        <f aca="false">IF(C1643="","",IFERROR(INDEX('Cadastro Mestre'!$Q$5:$Q$504,MATCH(C1643,'Cadastro Mestre'!$A$5:$A$504,0)),""))</f>
        <v/>
      </c>
      <c r="F1643" s="21"/>
      <c r="G1643" s="21"/>
      <c r="H1643" s="21"/>
      <c r="I1643" s="21"/>
    </row>
    <row r="1644" customFormat="false" ht="15" hidden="false" customHeight="false" outlineLevel="0" collapsed="false">
      <c r="A1644" s="25"/>
      <c r="B1644" s="21"/>
      <c r="C1644" s="21"/>
      <c r="D1644" s="26" t="str">
        <f aca="false">IF(C1644="","",IFERROR(INDEX('Cadastro Mestre'!$C$5:$C$504,MATCH(C1644,'Cadastro Mestre'!$A$5:$A$504,0)),"código não encontrado"))</f>
        <v/>
      </c>
      <c r="E1644" s="24" t="str">
        <f aca="false">IF(C1644="","",IFERROR(INDEX('Cadastro Mestre'!$Q$5:$Q$504,MATCH(C1644,'Cadastro Mestre'!$A$5:$A$504,0)),""))</f>
        <v/>
      </c>
      <c r="F1644" s="21"/>
      <c r="G1644" s="21"/>
      <c r="H1644" s="21"/>
      <c r="I1644" s="21"/>
    </row>
    <row r="1645" customFormat="false" ht="15" hidden="false" customHeight="false" outlineLevel="0" collapsed="false">
      <c r="A1645" s="25"/>
      <c r="B1645" s="21"/>
      <c r="C1645" s="21"/>
      <c r="D1645" s="26" t="str">
        <f aca="false">IF(C1645="","",IFERROR(INDEX('Cadastro Mestre'!$C$5:$C$504,MATCH(C1645,'Cadastro Mestre'!$A$5:$A$504,0)),"código não encontrado"))</f>
        <v/>
      </c>
      <c r="E1645" s="24" t="str">
        <f aca="false">IF(C1645="","",IFERROR(INDEX('Cadastro Mestre'!$Q$5:$Q$504,MATCH(C1645,'Cadastro Mestre'!$A$5:$A$504,0)),""))</f>
        <v/>
      </c>
      <c r="F1645" s="21"/>
      <c r="G1645" s="21"/>
      <c r="H1645" s="21"/>
      <c r="I1645" s="21"/>
    </row>
    <row r="1646" customFormat="false" ht="15" hidden="false" customHeight="false" outlineLevel="0" collapsed="false">
      <c r="A1646" s="25"/>
      <c r="B1646" s="21"/>
      <c r="C1646" s="21"/>
      <c r="D1646" s="26" t="str">
        <f aca="false">IF(C1646="","",IFERROR(INDEX('Cadastro Mestre'!$C$5:$C$504,MATCH(C1646,'Cadastro Mestre'!$A$5:$A$504,0)),"código não encontrado"))</f>
        <v/>
      </c>
      <c r="E1646" s="24" t="str">
        <f aca="false">IF(C1646="","",IFERROR(INDEX('Cadastro Mestre'!$Q$5:$Q$504,MATCH(C1646,'Cadastro Mestre'!$A$5:$A$504,0)),""))</f>
        <v/>
      </c>
      <c r="F1646" s="21"/>
      <c r="G1646" s="21"/>
      <c r="H1646" s="21"/>
      <c r="I1646" s="21"/>
    </row>
    <row r="1647" customFormat="false" ht="15" hidden="false" customHeight="false" outlineLevel="0" collapsed="false">
      <c r="A1647" s="25"/>
      <c r="B1647" s="21"/>
      <c r="C1647" s="21"/>
      <c r="D1647" s="26" t="str">
        <f aca="false">IF(C1647="","",IFERROR(INDEX('Cadastro Mestre'!$C$5:$C$504,MATCH(C1647,'Cadastro Mestre'!$A$5:$A$504,0)),"código não encontrado"))</f>
        <v/>
      </c>
      <c r="E1647" s="24" t="str">
        <f aca="false">IF(C1647="","",IFERROR(INDEX('Cadastro Mestre'!$Q$5:$Q$504,MATCH(C1647,'Cadastro Mestre'!$A$5:$A$504,0)),""))</f>
        <v/>
      </c>
      <c r="F1647" s="21"/>
      <c r="G1647" s="21"/>
      <c r="H1647" s="21"/>
      <c r="I1647" s="21"/>
    </row>
    <row r="1648" customFormat="false" ht="15" hidden="false" customHeight="false" outlineLevel="0" collapsed="false">
      <c r="A1648" s="25"/>
      <c r="B1648" s="21"/>
      <c r="C1648" s="21"/>
      <c r="D1648" s="26" t="str">
        <f aca="false">IF(C1648="","",IFERROR(INDEX('Cadastro Mestre'!$C$5:$C$504,MATCH(C1648,'Cadastro Mestre'!$A$5:$A$504,0)),"código não encontrado"))</f>
        <v/>
      </c>
      <c r="E1648" s="24" t="str">
        <f aca="false">IF(C1648="","",IFERROR(INDEX('Cadastro Mestre'!$Q$5:$Q$504,MATCH(C1648,'Cadastro Mestre'!$A$5:$A$504,0)),""))</f>
        <v/>
      </c>
      <c r="F1648" s="21"/>
      <c r="G1648" s="21"/>
      <c r="H1648" s="21"/>
      <c r="I1648" s="21"/>
    </row>
    <row r="1649" customFormat="false" ht="15" hidden="false" customHeight="false" outlineLevel="0" collapsed="false">
      <c r="A1649" s="25"/>
      <c r="B1649" s="21"/>
      <c r="C1649" s="21"/>
      <c r="D1649" s="26" t="str">
        <f aca="false">IF(C1649="","",IFERROR(INDEX('Cadastro Mestre'!$C$5:$C$504,MATCH(C1649,'Cadastro Mestre'!$A$5:$A$504,0)),"código não encontrado"))</f>
        <v/>
      </c>
      <c r="E1649" s="24" t="str">
        <f aca="false">IF(C1649="","",IFERROR(INDEX('Cadastro Mestre'!$Q$5:$Q$504,MATCH(C1649,'Cadastro Mestre'!$A$5:$A$504,0)),""))</f>
        <v/>
      </c>
      <c r="F1649" s="21"/>
      <c r="G1649" s="21"/>
      <c r="H1649" s="21"/>
      <c r="I1649" s="21"/>
    </row>
    <row r="1650" customFormat="false" ht="15" hidden="false" customHeight="false" outlineLevel="0" collapsed="false">
      <c r="A1650" s="25"/>
      <c r="B1650" s="21"/>
      <c r="C1650" s="21"/>
      <c r="D1650" s="26" t="str">
        <f aca="false">IF(C1650="","",IFERROR(INDEX('Cadastro Mestre'!$C$5:$C$504,MATCH(C1650,'Cadastro Mestre'!$A$5:$A$504,0)),"código não encontrado"))</f>
        <v/>
      </c>
      <c r="E1650" s="24" t="str">
        <f aca="false">IF(C1650="","",IFERROR(INDEX('Cadastro Mestre'!$Q$5:$Q$504,MATCH(C1650,'Cadastro Mestre'!$A$5:$A$504,0)),""))</f>
        <v/>
      </c>
      <c r="F1650" s="21"/>
      <c r="G1650" s="21"/>
      <c r="H1650" s="21"/>
      <c r="I1650" s="21"/>
    </row>
    <row r="1651" customFormat="false" ht="15" hidden="false" customHeight="false" outlineLevel="0" collapsed="false">
      <c r="A1651" s="25"/>
      <c r="B1651" s="21"/>
      <c r="C1651" s="21"/>
      <c r="D1651" s="26" t="str">
        <f aca="false">IF(C1651="","",IFERROR(INDEX('Cadastro Mestre'!$C$5:$C$504,MATCH(C1651,'Cadastro Mestre'!$A$5:$A$504,0)),"código não encontrado"))</f>
        <v/>
      </c>
      <c r="E1651" s="24" t="str">
        <f aca="false">IF(C1651="","",IFERROR(INDEX('Cadastro Mestre'!$Q$5:$Q$504,MATCH(C1651,'Cadastro Mestre'!$A$5:$A$504,0)),""))</f>
        <v/>
      </c>
      <c r="F1651" s="21"/>
      <c r="G1651" s="21"/>
      <c r="H1651" s="21"/>
      <c r="I1651" s="21"/>
    </row>
    <row r="1652" customFormat="false" ht="15" hidden="false" customHeight="false" outlineLevel="0" collapsed="false">
      <c r="A1652" s="25"/>
      <c r="B1652" s="21"/>
      <c r="C1652" s="21"/>
      <c r="D1652" s="26" t="str">
        <f aca="false">IF(C1652="","",IFERROR(INDEX('Cadastro Mestre'!$C$5:$C$504,MATCH(C1652,'Cadastro Mestre'!$A$5:$A$504,0)),"código não encontrado"))</f>
        <v/>
      </c>
      <c r="E1652" s="24" t="str">
        <f aca="false">IF(C1652="","",IFERROR(INDEX('Cadastro Mestre'!$Q$5:$Q$504,MATCH(C1652,'Cadastro Mestre'!$A$5:$A$504,0)),""))</f>
        <v/>
      </c>
      <c r="F1652" s="21"/>
      <c r="G1652" s="21"/>
      <c r="H1652" s="21"/>
      <c r="I1652" s="21"/>
    </row>
    <row r="1653" customFormat="false" ht="15" hidden="false" customHeight="false" outlineLevel="0" collapsed="false">
      <c r="A1653" s="25"/>
      <c r="B1653" s="21"/>
      <c r="C1653" s="21"/>
      <c r="D1653" s="26" t="str">
        <f aca="false">IF(C1653="","",IFERROR(INDEX('Cadastro Mestre'!$C$5:$C$504,MATCH(C1653,'Cadastro Mestre'!$A$5:$A$504,0)),"código não encontrado"))</f>
        <v/>
      </c>
      <c r="E1653" s="24" t="str">
        <f aca="false">IF(C1653="","",IFERROR(INDEX('Cadastro Mestre'!$Q$5:$Q$504,MATCH(C1653,'Cadastro Mestre'!$A$5:$A$504,0)),""))</f>
        <v/>
      </c>
      <c r="F1653" s="21"/>
      <c r="G1653" s="21"/>
      <c r="H1653" s="21"/>
      <c r="I1653" s="21"/>
    </row>
    <row r="1654" customFormat="false" ht="15" hidden="false" customHeight="false" outlineLevel="0" collapsed="false">
      <c r="A1654" s="25"/>
      <c r="B1654" s="21"/>
      <c r="C1654" s="21"/>
      <c r="D1654" s="26" t="str">
        <f aca="false">IF(C1654="","",IFERROR(INDEX('Cadastro Mestre'!$C$5:$C$504,MATCH(C1654,'Cadastro Mestre'!$A$5:$A$504,0)),"código não encontrado"))</f>
        <v/>
      </c>
      <c r="E1654" s="24" t="str">
        <f aca="false">IF(C1654="","",IFERROR(INDEX('Cadastro Mestre'!$Q$5:$Q$504,MATCH(C1654,'Cadastro Mestre'!$A$5:$A$504,0)),""))</f>
        <v/>
      </c>
      <c r="F1654" s="21"/>
      <c r="G1654" s="21"/>
      <c r="H1654" s="21"/>
      <c r="I1654" s="21"/>
    </row>
    <row r="1655" customFormat="false" ht="15" hidden="false" customHeight="false" outlineLevel="0" collapsed="false">
      <c r="A1655" s="25"/>
      <c r="B1655" s="21"/>
      <c r="C1655" s="21"/>
      <c r="D1655" s="26" t="str">
        <f aca="false">IF(C1655="","",IFERROR(INDEX('Cadastro Mestre'!$C$5:$C$504,MATCH(C1655,'Cadastro Mestre'!$A$5:$A$504,0)),"código não encontrado"))</f>
        <v/>
      </c>
      <c r="E1655" s="24" t="str">
        <f aca="false">IF(C1655="","",IFERROR(INDEX('Cadastro Mestre'!$Q$5:$Q$504,MATCH(C1655,'Cadastro Mestre'!$A$5:$A$504,0)),""))</f>
        <v/>
      </c>
      <c r="F1655" s="21"/>
      <c r="G1655" s="21"/>
      <c r="H1655" s="21"/>
      <c r="I1655" s="21"/>
    </row>
    <row r="1656" customFormat="false" ht="15" hidden="false" customHeight="false" outlineLevel="0" collapsed="false">
      <c r="A1656" s="25"/>
      <c r="B1656" s="21"/>
      <c r="C1656" s="21"/>
      <c r="D1656" s="26" t="str">
        <f aca="false">IF(C1656="","",IFERROR(INDEX('Cadastro Mestre'!$C$5:$C$504,MATCH(C1656,'Cadastro Mestre'!$A$5:$A$504,0)),"código não encontrado"))</f>
        <v/>
      </c>
      <c r="E1656" s="24" t="str">
        <f aca="false">IF(C1656="","",IFERROR(INDEX('Cadastro Mestre'!$Q$5:$Q$504,MATCH(C1656,'Cadastro Mestre'!$A$5:$A$504,0)),""))</f>
        <v/>
      </c>
      <c r="F1656" s="21"/>
      <c r="G1656" s="21"/>
      <c r="H1656" s="21"/>
      <c r="I1656" s="21"/>
    </row>
    <row r="1657" customFormat="false" ht="15" hidden="false" customHeight="false" outlineLevel="0" collapsed="false">
      <c r="A1657" s="25"/>
      <c r="B1657" s="21"/>
      <c r="C1657" s="21"/>
      <c r="D1657" s="26" t="str">
        <f aca="false">IF(C1657="","",IFERROR(INDEX('Cadastro Mestre'!$C$5:$C$504,MATCH(C1657,'Cadastro Mestre'!$A$5:$A$504,0)),"código não encontrado"))</f>
        <v/>
      </c>
      <c r="E1657" s="24" t="str">
        <f aca="false">IF(C1657="","",IFERROR(INDEX('Cadastro Mestre'!$Q$5:$Q$504,MATCH(C1657,'Cadastro Mestre'!$A$5:$A$504,0)),""))</f>
        <v/>
      </c>
      <c r="F1657" s="21"/>
      <c r="G1657" s="21"/>
      <c r="H1657" s="21"/>
      <c r="I1657" s="21"/>
    </row>
    <row r="1658" customFormat="false" ht="15" hidden="false" customHeight="false" outlineLevel="0" collapsed="false">
      <c r="A1658" s="25"/>
      <c r="B1658" s="21"/>
      <c r="C1658" s="21"/>
      <c r="D1658" s="26" t="str">
        <f aca="false">IF(C1658="","",IFERROR(INDEX('Cadastro Mestre'!$C$5:$C$504,MATCH(C1658,'Cadastro Mestre'!$A$5:$A$504,0)),"código não encontrado"))</f>
        <v/>
      </c>
      <c r="E1658" s="24" t="str">
        <f aca="false">IF(C1658="","",IFERROR(INDEX('Cadastro Mestre'!$Q$5:$Q$504,MATCH(C1658,'Cadastro Mestre'!$A$5:$A$504,0)),""))</f>
        <v/>
      </c>
      <c r="F1658" s="21"/>
      <c r="G1658" s="21"/>
      <c r="H1658" s="21"/>
      <c r="I1658" s="21"/>
    </row>
    <row r="1659" customFormat="false" ht="15" hidden="false" customHeight="false" outlineLevel="0" collapsed="false">
      <c r="A1659" s="25"/>
      <c r="B1659" s="21"/>
      <c r="C1659" s="21"/>
      <c r="D1659" s="26" t="str">
        <f aca="false">IF(C1659="","",IFERROR(INDEX('Cadastro Mestre'!$C$5:$C$504,MATCH(C1659,'Cadastro Mestre'!$A$5:$A$504,0)),"código não encontrado"))</f>
        <v/>
      </c>
      <c r="E1659" s="24" t="str">
        <f aca="false">IF(C1659="","",IFERROR(INDEX('Cadastro Mestre'!$Q$5:$Q$504,MATCH(C1659,'Cadastro Mestre'!$A$5:$A$504,0)),""))</f>
        <v/>
      </c>
      <c r="F1659" s="21"/>
      <c r="G1659" s="21"/>
      <c r="H1659" s="21"/>
      <c r="I1659" s="21"/>
    </row>
    <row r="1660" customFormat="false" ht="15" hidden="false" customHeight="false" outlineLevel="0" collapsed="false">
      <c r="A1660" s="25"/>
      <c r="B1660" s="21"/>
      <c r="C1660" s="21"/>
      <c r="D1660" s="26" t="str">
        <f aca="false">IF(C1660="","",IFERROR(INDEX('Cadastro Mestre'!$C$5:$C$504,MATCH(C1660,'Cadastro Mestre'!$A$5:$A$504,0)),"código não encontrado"))</f>
        <v/>
      </c>
      <c r="E1660" s="24" t="str">
        <f aca="false">IF(C1660="","",IFERROR(INDEX('Cadastro Mestre'!$Q$5:$Q$504,MATCH(C1660,'Cadastro Mestre'!$A$5:$A$504,0)),""))</f>
        <v/>
      </c>
      <c r="F1660" s="21"/>
      <c r="G1660" s="21"/>
      <c r="H1660" s="21"/>
      <c r="I1660" s="21"/>
    </row>
    <row r="1661" customFormat="false" ht="15" hidden="false" customHeight="false" outlineLevel="0" collapsed="false">
      <c r="A1661" s="25"/>
      <c r="B1661" s="21"/>
      <c r="C1661" s="21"/>
      <c r="D1661" s="26" t="str">
        <f aca="false">IF(C1661="","",IFERROR(INDEX('Cadastro Mestre'!$C$5:$C$504,MATCH(C1661,'Cadastro Mestre'!$A$5:$A$504,0)),"código não encontrado"))</f>
        <v/>
      </c>
      <c r="E1661" s="24" t="str">
        <f aca="false">IF(C1661="","",IFERROR(INDEX('Cadastro Mestre'!$Q$5:$Q$504,MATCH(C1661,'Cadastro Mestre'!$A$5:$A$504,0)),""))</f>
        <v/>
      </c>
      <c r="F1661" s="21"/>
      <c r="G1661" s="21"/>
      <c r="H1661" s="21"/>
      <c r="I1661" s="21"/>
    </row>
    <row r="1662" customFormat="false" ht="15" hidden="false" customHeight="false" outlineLevel="0" collapsed="false">
      <c r="A1662" s="25"/>
      <c r="B1662" s="21"/>
      <c r="C1662" s="21"/>
      <c r="D1662" s="26" t="str">
        <f aca="false">IF(C1662="","",IFERROR(INDEX('Cadastro Mestre'!$C$5:$C$504,MATCH(C1662,'Cadastro Mestre'!$A$5:$A$504,0)),"código não encontrado"))</f>
        <v/>
      </c>
      <c r="E1662" s="24" t="str">
        <f aca="false">IF(C1662="","",IFERROR(INDEX('Cadastro Mestre'!$Q$5:$Q$504,MATCH(C1662,'Cadastro Mestre'!$A$5:$A$504,0)),""))</f>
        <v/>
      </c>
      <c r="F1662" s="21"/>
      <c r="G1662" s="21"/>
      <c r="H1662" s="21"/>
      <c r="I1662" s="21"/>
    </row>
    <row r="1663" customFormat="false" ht="15" hidden="false" customHeight="false" outlineLevel="0" collapsed="false">
      <c r="A1663" s="25"/>
      <c r="B1663" s="21"/>
      <c r="C1663" s="21"/>
      <c r="D1663" s="26" t="str">
        <f aca="false">IF(C1663="","",IFERROR(INDEX('Cadastro Mestre'!$C$5:$C$504,MATCH(C1663,'Cadastro Mestre'!$A$5:$A$504,0)),"código não encontrado"))</f>
        <v/>
      </c>
      <c r="E1663" s="24" t="str">
        <f aca="false">IF(C1663="","",IFERROR(INDEX('Cadastro Mestre'!$Q$5:$Q$504,MATCH(C1663,'Cadastro Mestre'!$A$5:$A$504,0)),""))</f>
        <v/>
      </c>
      <c r="F1663" s="21"/>
      <c r="G1663" s="21"/>
      <c r="H1663" s="21"/>
      <c r="I1663" s="21"/>
    </row>
    <row r="1664" customFormat="false" ht="15" hidden="false" customHeight="false" outlineLevel="0" collapsed="false">
      <c r="A1664" s="25"/>
      <c r="B1664" s="21"/>
      <c r="C1664" s="21"/>
      <c r="D1664" s="26" t="str">
        <f aca="false">IF(C1664="","",IFERROR(INDEX('Cadastro Mestre'!$C$5:$C$504,MATCH(C1664,'Cadastro Mestre'!$A$5:$A$504,0)),"código não encontrado"))</f>
        <v/>
      </c>
      <c r="E1664" s="24" t="str">
        <f aca="false">IF(C1664="","",IFERROR(INDEX('Cadastro Mestre'!$Q$5:$Q$504,MATCH(C1664,'Cadastro Mestre'!$A$5:$A$504,0)),""))</f>
        <v/>
      </c>
      <c r="F1664" s="21"/>
      <c r="G1664" s="21"/>
      <c r="H1664" s="21"/>
      <c r="I1664" s="21"/>
    </row>
    <row r="1665" customFormat="false" ht="15" hidden="false" customHeight="false" outlineLevel="0" collapsed="false">
      <c r="A1665" s="25"/>
      <c r="B1665" s="21"/>
      <c r="C1665" s="21"/>
      <c r="D1665" s="26" t="str">
        <f aca="false">IF(C1665="","",IFERROR(INDEX('Cadastro Mestre'!$C$5:$C$504,MATCH(C1665,'Cadastro Mestre'!$A$5:$A$504,0)),"código não encontrado"))</f>
        <v/>
      </c>
      <c r="E1665" s="24" t="str">
        <f aca="false">IF(C1665="","",IFERROR(INDEX('Cadastro Mestre'!$Q$5:$Q$504,MATCH(C1665,'Cadastro Mestre'!$A$5:$A$504,0)),""))</f>
        <v/>
      </c>
      <c r="F1665" s="21"/>
      <c r="G1665" s="21"/>
      <c r="H1665" s="21"/>
      <c r="I1665" s="21"/>
    </row>
    <row r="1666" customFormat="false" ht="15" hidden="false" customHeight="false" outlineLevel="0" collapsed="false">
      <c r="A1666" s="25"/>
      <c r="B1666" s="21"/>
      <c r="C1666" s="21"/>
      <c r="D1666" s="26" t="str">
        <f aca="false">IF(C1666="","",IFERROR(INDEX('Cadastro Mestre'!$C$5:$C$504,MATCH(C1666,'Cadastro Mestre'!$A$5:$A$504,0)),"código não encontrado"))</f>
        <v/>
      </c>
      <c r="E1666" s="24" t="str">
        <f aca="false">IF(C1666="","",IFERROR(INDEX('Cadastro Mestre'!$Q$5:$Q$504,MATCH(C1666,'Cadastro Mestre'!$A$5:$A$504,0)),""))</f>
        <v/>
      </c>
      <c r="F1666" s="21"/>
      <c r="G1666" s="21"/>
      <c r="H1666" s="21"/>
      <c r="I1666" s="21"/>
    </row>
    <row r="1667" customFormat="false" ht="15" hidden="false" customHeight="false" outlineLevel="0" collapsed="false">
      <c r="A1667" s="25"/>
      <c r="B1667" s="21"/>
      <c r="C1667" s="21"/>
      <c r="D1667" s="26" t="str">
        <f aca="false">IF(C1667="","",IFERROR(INDEX('Cadastro Mestre'!$C$5:$C$504,MATCH(C1667,'Cadastro Mestre'!$A$5:$A$504,0)),"código não encontrado"))</f>
        <v/>
      </c>
      <c r="E1667" s="24" t="str">
        <f aca="false">IF(C1667="","",IFERROR(INDEX('Cadastro Mestre'!$Q$5:$Q$504,MATCH(C1667,'Cadastro Mestre'!$A$5:$A$504,0)),""))</f>
        <v/>
      </c>
      <c r="F1667" s="21"/>
      <c r="G1667" s="21"/>
      <c r="H1667" s="21"/>
      <c r="I1667" s="21"/>
    </row>
    <row r="1668" customFormat="false" ht="15" hidden="false" customHeight="false" outlineLevel="0" collapsed="false">
      <c r="A1668" s="25"/>
      <c r="B1668" s="21"/>
      <c r="C1668" s="21"/>
      <c r="D1668" s="26" t="str">
        <f aca="false">IF(C1668="","",IFERROR(INDEX('Cadastro Mestre'!$C$5:$C$504,MATCH(C1668,'Cadastro Mestre'!$A$5:$A$504,0)),"código não encontrado"))</f>
        <v/>
      </c>
      <c r="E1668" s="24" t="str">
        <f aca="false">IF(C1668="","",IFERROR(INDEX('Cadastro Mestre'!$Q$5:$Q$504,MATCH(C1668,'Cadastro Mestre'!$A$5:$A$504,0)),""))</f>
        <v/>
      </c>
      <c r="F1668" s="21"/>
      <c r="G1668" s="21"/>
      <c r="H1668" s="21"/>
      <c r="I1668" s="21"/>
    </row>
    <row r="1669" customFormat="false" ht="15" hidden="false" customHeight="false" outlineLevel="0" collapsed="false">
      <c r="A1669" s="25"/>
      <c r="B1669" s="21"/>
      <c r="C1669" s="21"/>
      <c r="D1669" s="26" t="str">
        <f aca="false">IF(C1669="","",IFERROR(INDEX('Cadastro Mestre'!$C$5:$C$504,MATCH(C1669,'Cadastro Mestre'!$A$5:$A$504,0)),"código não encontrado"))</f>
        <v/>
      </c>
      <c r="E1669" s="24" t="str">
        <f aca="false">IF(C1669="","",IFERROR(INDEX('Cadastro Mestre'!$Q$5:$Q$504,MATCH(C1669,'Cadastro Mestre'!$A$5:$A$504,0)),""))</f>
        <v/>
      </c>
      <c r="F1669" s="21"/>
      <c r="G1669" s="21"/>
      <c r="H1669" s="21"/>
      <c r="I1669" s="21"/>
    </row>
    <row r="1670" customFormat="false" ht="15" hidden="false" customHeight="false" outlineLevel="0" collapsed="false">
      <c r="A1670" s="25"/>
      <c r="B1670" s="21"/>
      <c r="C1670" s="21"/>
      <c r="D1670" s="26" t="str">
        <f aca="false">IF(C1670="","",IFERROR(INDEX('Cadastro Mestre'!$C$5:$C$504,MATCH(C1670,'Cadastro Mestre'!$A$5:$A$504,0)),"código não encontrado"))</f>
        <v/>
      </c>
      <c r="E1670" s="24" t="str">
        <f aca="false">IF(C1670="","",IFERROR(INDEX('Cadastro Mestre'!$Q$5:$Q$504,MATCH(C1670,'Cadastro Mestre'!$A$5:$A$504,0)),""))</f>
        <v/>
      </c>
      <c r="F1670" s="21"/>
      <c r="G1670" s="21"/>
      <c r="H1670" s="21"/>
      <c r="I1670" s="21"/>
    </row>
    <row r="1671" customFormat="false" ht="15" hidden="false" customHeight="false" outlineLevel="0" collapsed="false">
      <c r="A1671" s="25"/>
      <c r="B1671" s="21"/>
      <c r="C1671" s="21"/>
      <c r="D1671" s="26" t="str">
        <f aca="false">IF(C1671="","",IFERROR(INDEX('Cadastro Mestre'!$C$5:$C$504,MATCH(C1671,'Cadastro Mestre'!$A$5:$A$504,0)),"código não encontrado"))</f>
        <v/>
      </c>
      <c r="E1671" s="24" t="str">
        <f aca="false">IF(C1671="","",IFERROR(INDEX('Cadastro Mestre'!$Q$5:$Q$504,MATCH(C1671,'Cadastro Mestre'!$A$5:$A$504,0)),""))</f>
        <v/>
      </c>
      <c r="F1671" s="21"/>
      <c r="G1671" s="21"/>
      <c r="H1671" s="21"/>
      <c r="I1671" s="21"/>
    </row>
    <row r="1672" customFormat="false" ht="15" hidden="false" customHeight="false" outlineLevel="0" collapsed="false">
      <c r="A1672" s="25"/>
      <c r="B1672" s="21"/>
      <c r="C1672" s="21"/>
      <c r="D1672" s="26" t="str">
        <f aca="false">IF(C1672="","",IFERROR(INDEX('Cadastro Mestre'!$C$5:$C$504,MATCH(C1672,'Cadastro Mestre'!$A$5:$A$504,0)),"código não encontrado"))</f>
        <v/>
      </c>
      <c r="E1672" s="24" t="str">
        <f aca="false">IF(C1672="","",IFERROR(INDEX('Cadastro Mestre'!$Q$5:$Q$504,MATCH(C1672,'Cadastro Mestre'!$A$5:$A$504,0)),""))</f>
        <v/>
      </c>
      <c r="F1672" s="21"/>
      <c r="G1672" s="21"/>
      <c r="H1672" s="21"/>
      <c r="I1672" s="21"/>
    </row>
    <row r="1673" customFormat="false" ht="15" hidden="false" customHeight="false" outlineLevel="0" collapsed="false">
      <c r="A1673" s="25"/>
      <c r="B1673" s="21"/>
      <c r="C1673" s="21"/>
      <c r="D1673" s="26" t="str">
        <f aca="false">IF(C1673="","",IFERROR(INDEX('Cadastro Mestre'!$C$5:$C$504,MATCH(C1673,'Cadastro Mestre'!$A$5:$A$504,0)),"código não encontrado"))</f>
        <v/>
      </c>
      <c r="E1673" s="24" t="str">
        <f aca="false">IF(C1673="","",IFERROR(INDEX('Cadastro Mestre'!$Q$5:$Q$504,MATCH(C1673,'Cadastro Mestre'!$A$5:$A$504,0)),""))</f>
        <v/>
      </c>
      <c r="F1673" s="21"/>
      <c r="G1673" s="21"/>
      <c r="H1673" s="21"/>
      <c r="I1673" s="21"/>
    </row>
    <row r="1674" customFormat="false" ht="15" hidden="false" customHeight="false" outlineLevel="0" collapsed="false">
      <c r="A1674" s="25"/>
      <c r="B1674" s="21"/>
      <c r="C1674" s="21"/>
      <c r="D1674" s="26" t="str">
        <f aca="false">IF(C1674="","",IFERROR(INDEX('Cadastro Mestre'!$C$5:$C$504,MATCH(C1674,'Cadastro Mestre'!$A$5:$A$504,0)),"código não encontrado"))</f>
        <v/>
      </c>
      <c r="E1674" s="24" t="str">
        <f aca="false">IF(C1674="","",IFERROR(INDEX('Cadastro Mestre'!$Q$5:$Q$504,MATCH(C1674,'Cadastro Mestre'!$A$5:$A$504,0)),""))</f>
        <v/>
      </c>
      <c r="F1674" s="21"/>
      <c r="G1674" s="21"/>
      <c r="H1674" s="21"/>
      <c r="I1674" s="21"/>
    </row>
    <row r="1675" customFormat="false" ht="15" hidden="false" customHeight="false" outlineLevel="0" collapsed="false">
      <c r="A1675" s="25"/>
      <c r="B1675" s="21"/>
      <c r="C1675" s="21"/>
      <c r="D1675" s="26" t="str">
        <f aca="false">IF(C1675="","",IFERROR(INDEX('Cadastro Mestre'!$C$5:$C$504,MATCH(C1675,'Cadastro Mestre'!$A$5:$A$504,0)),"código não encontrado"))</f>
        <v/>
      </c>
      <c r="E1675" s="24" t="str">
        <f aca="false">IF(C1675="","",IFERROR(INDEX('Cadastro Mestre'!$Q$5:$Q$504,MATCH(C1675,'Cadastro Mestre'!$A$5:$A$504,0)),""))</f>
        <v/>
      </c>
      <c r="F1675" s="21"/>
      <c r="G1675" s="21"/>
      <c r="H1675" s="21"/>
      <c r="I1675" s="21"/>
    </row>
    <row r="1676" customFormat="false" ht="15" hidden="false" customHeight="false" outlineLevel="0" collapsed="false">
      <c r="A1676" s="25"/>
      <c r="B1676" s="21"/>
      <c r="C1676" s="21"/>
      <c r="D1676" s="26" t="str">
        <f aca="false">IF(C1676="","",IFERROR(INDEX('Cadastro Mestre'!$C$5:$C$504,MATCH(C1676,'Cadastro Mestre'!$A$5:$A$504,0)),"código não encontrado"))</f>
        <v/>
      </c>
      <c r="E1676" s="24" t="str">
        <f aca="false">IF(C1676="","",IFERROR(INDEX('Cadastro Mestre'!$Q$5:$Q$504,MATCH(C1676,'Cadastro Mestre'!$A$5:$A$504,0)),""))</f>
        <v/>
      </c>
      <c r="F1676" s="21"/>
      <c r="G1676" s="21"/>
      <c r="H1676" s="21"/>
      <c r="I1676" s="21"/>
    </row>
    <row r="1677" customFormat="false" ht="15" hidden="false" customHeight="false" outlineLevel="0" collapsed="false">
      <c r="A1677" s="25"/>
      <c r="B1677" s="21"/>
      <c r="C1677" s="21"/>
      <c r="D1677" s="26" t="str">
        <f aca="false">IF(C1677="","",IFERROR(INDEX('Cadastro Mestre'!$C$5:$C$504,MATCH(C1677,'Cadastro Mestre'!$A$5:$A$504,0)),"código não encontrado"))</f>
        <v/>
      </c>
      <c r="E1677" s="24" t="str">
        <f aca="false">IF(C1677="","",IFERROR(INDEX('Cadastro Mestre'!$Q$5:$Q$504,MATCH(C1677,'Cadastro Mestre'!$A$5:$A$504,0)),""))</f>
        <v/>
      </c>
      <c r="F1677" s="21"/>
      <c r="G1677" s="21"/>
      <c r="H1677" s="21"/>
      <c r="I1677" s="21"/>
    </row>
    <row r="1678" customFormat="false" ht="15" hidden="false" customHeight="false" outlineLevel="0" collapsed="false">
      <c r="A1678" s="25"/>
      <c r="B1678" s="21"/>
      <c r="C1678" s="21"/>
      <c r="D1678" s="26" t="str">
        <f aca="false">IF(C1678="","",IFERROR(INDEX('Cadastro Mestre'!$C$5:$C$504,MATCH(C1678,'Cadastro Mestre'!$A$5:$A$504,0)),"código não encontrado"))</f>
        <v/>
      </c>
      <c r="E1678" s="24" t="str">
        <f aca="false">IF(C1678="","",IFERROR(INDEX('Cadastro Mestre'!$Q$5:$Q$504,MATCH(C1678,'Cadastro Mestre'!$A$5:$A$504,0)),""))</f>
        <v/>
      </c>
      <c r="F1678" s="21"/>
      <c r="G1678" s="21"/>
      <c r="H1678" s="21"/>
      <c r="I1678" s="21"/>
    </row>
    <row r="1679" customFormat="false" ht="15" hidden="false" customHeight="false" outlineLevel="0" collapsed="false">
      <c r="A1679" s="25"/>
      <c r="B1679" s="21"/>
      <c r="C1679" s="21"/>
      <c r="D1679" s="26" t="str">
        <f aca="false">IF(C1679="","",IFERROR(INDEX('Cadastro Mestre'!$C$5:$C$504,MATCH(C1679,'Cadastro Mestre'!$A$5:$A$504,0)),"código não encontrado"))</f>
        <v/>
      </c>
      <c r="E1679" s="24" t="str">
        <f aca="false">IF(C1679="","",IFERROR(INDEX('Cadastro Mestre'!$Q$5:$Q$504,MATCH(C1679,'Cadastro Mestre'!$A$5:$A$504,0)),""))</f>
        <v/>
      </c>
      <c r="F1679" s="21"/>
      <c r="G1679" s="21"/>
      <c r="H1679" s="21"/>
      <c r="I1679" s="21"/>
    </row>
    <row r="1680" customFormat="false" ht="15" hidden="false" customHeight="false" outlineLevel="0" collapsed="false">
      <c r="A1680" s="25"/>
      <c r="B1680" s="21"/>
      <c r="C1680" s="21"/>
      <c r="D1680" s="26" t="str">
        <f aca="false">IF(C1680="","",IFERROR(INDEX('Cadastro Mestre'!$C$5:$C$504,MATCH(C1680,'Cadastro Mestre'!$A$5:$A$504,0)),"código não encontrado"))</f>
        <v/>
      </c>
      <c r="E1680" s="24" t="str">
        <f aca="false">IF(C1680="","",IFERROR(INDEX('Cadastro Mestre'!$Q$5:$Q$504,MATCH(C1680,'Cadastro Mestre'!$A$5:$A$504,0)),""))</f>
        <v/>
      </c>
      <c r="F1680" s="21"/>
      <c r="G1680" s="21"/>
      <c r="H1680" s="21"/>
      <c r="I1680" s="21"/>
    </row>
    <row r="1681" customFormat="false" ht="15" hidden="false" customHeight="false" outlineLevel="0" collapsed="false">
      <c r="A1681" s="25"/>
      <c r="B1681" s="21"/>
      <c r="C1681" s="21"/>
      <c r="D1681" s="26" t="str">
        <f aca="false">IF(C1681="","",IFERROR(INDEX('Cadastro Mestre'!$C$5:$C$504,MATCH(C1681,'Cadastro Mestre'!$A$5:$A$504,0)),"código não encontrado"))</f>
        <v/>
      </c>
      <c r="E1681" s="24" t="str">
        <f aca="false">IF(C1681="","",IFERROR(INDEX('Cadastro Mestre'!$Q$5:$Q$504,MATCH(C1681,'Cadastro Mestre'!$A$5:$A$504,0)),""))</f>
        <v/>
      </c>
      <c r="F1681" s="21"/>
      <c r="G1681" s="21"/>
      <c r="H1681" s="21"/>
      <c r="I1681" s="21"/>
    </row>
    <row r="1682" customFormat="false" ht="15" hidden="false" customHeight="false" outlineLevel="0" collapsed="false">
      <c r="A1682" s="25"/>
      <c r="B1682" s="21"/>
      <c r="C1682" s="21"/>
      <c r="D1682" s="26" t="str">
        <f aca="false">IF(C1682="","",IFERROR(INDEX('Cadastro Mestre'!$C$5:$C$504,MATCH(C1682,'Cadastro Mestre'!$A$5:$A$504,0)),"código não encontrado"))</f>
        <v/>
      </c>
      <c r="E1682" s="24" t="str">
        <f aca="false">IF(C1682="","",IFERROR(INDEX('Cadastro Mestre'!$Q$5:$Q$504,MATCH(C1682,'Cadastro Mestre'!$A$5:$A$504,0)),""))</f>
        <v/>
      </c>
      <c r="F1682" s="21"/>
      <c r="G1682" s="21"/>
      <c r="H1682" s="21"/>
      <c r="I1682" s="21"/>
    </row>
    <row r="1683" customFormat="false" ht="15" hidden="false" customHeight="false" outlineLevel="0" collapsed="false">
      <c r="A1683" s="25"/>
      <c r="B1683" s="21"/>
      <c r="C1683" s="21"/>
      <c r="D1683" s="26" t="str">
        <f aca="false">IF(C1683="","",IFERROR(INDEX('Cadastro Mestre'!$C$5:$C$504,MATCH(C1683,'Cadastro Mestre'!$A$5:$A$504,0)),"código não encontrado"))</f>
        <v/>
      </c>
      <c r="E1683" s="24" t="str">
        <f aca="false">IF(C1683="","",IFERROR(INDEX('Cadastro Mestre'!$Q$5:$Q$504,MATCH(C1683,'Cadastro Mestre'!$A$5:$A$504,0)),""))</f>
        <v/>
      </c>
      <c r="F1683" s="21"/>
      <c r="G1683" s="21"/>
      <c r="H1683" s="21"/>
      <c r="I1683" s="21"/>
    </row>
    <row r="1684" customFormat="false" ht="15" hidden="false" customHeight="false" outlineLevel="0" collapsed="false">
      <c r="A1684" s="25"/>
      <c r="B1684" s="21"/>
      <c r="C1684" s="21"/>
      <c r="D1684" s="26" t="str">
        <f aca="false">IF(C1684="","",IFERROR(INDEX('Cadastro Mestre'!$C$5:$C$504,MATCH(C1684,'Cadastro Mestre'!$A$5:$A$504,0)),"código não encontrado"))</f>
        <v/>
      </c>
      <c r="E1684" s="24" t="str">
        <f aca="false">IF(C1684="","",IFERROR(INDEX('Cadastro Mestre'!$Q$5:$Q$504,MATCH(C1684,'Cadastro Mestre'!$A$5:$A$504,0)),""))</f>
        <v/>
      </c>
      <c r="F1684" s="21"/>
      <c r="G1684" s="21"/>
      <c r="H1684" s="21"/>
      <c r="I1684" s="21"/>
    </row>
    <row r="1685" customFormat="false" ht="15" hidden="false" customHeight="false" outlineLevel="0" collapsed="false">
      <c r="A1685" s="25"/>
      <c r="B1685" s="21"/>
      <c r="C1685" s="21"/>
      <c r="D1685" s="26" t="str">
        <f aca="false">IF(C1685="","",IFERROR(INDEX('Cadastro Mestre'!$C$5:$C$504,MATCH(C1685,'Cadastro Mestre'!$A$5:$A$504,0)),"código não encontrado"))</f>
        <v/>
      </c>
      <c r="E1685" s="24" t="str">
        <f aca="false">IF(C1685="","",IFERROR(INDEX('Cadastro Mestre'!$Q$5:$Q$504,MATCH(C1685,'Cadastro Mestre'!$A$5:$A$504,0)),""))</f>
        <v/>
      </c>
      <c r="F1685" s="21"/>
      <c r="G1685" s="21"/>
      <c r="H1685" s="21"/>
      <c r="I1685" s="21"/>
    </row>
    <row r="1686" customFormat="false" ht="15" hidden="false" customHeight="false" outlineLevel="0" collapsed="false">
      <c r="A1686" s="25"/>
      <c r="B1686" s="21"/>
      <c r="C1686" s="21"/>
      <c r="D1686" s="26" t="str">
        <f aca="false">IF(C1686="","",IFERROR(INDEX('Cadastro Mestre'!$C$5:$C$504,MATCH(C1686,'Cadastro Mestre'!$A$5:$A$504,0)),"código não encontrado"))</f>
        <v/>
      </c>
      <c r="E1686" s="24" t="str">
        <f aca="false">IF(C1686="","",IFERROR(INDEX('Cadastro Mestre'!$Q$5:$Q$504,MATCH(C1686,'Cadastro Mestre'!$A$5:$A$504,0)),""))</f>
        <v/>
      </c>
      <c r="F1686" s="21"/>
      <c r="G1686" s="21"/>
      <c r="H1686" s="21"/>
      <c r="I1686" s="21"/>
    </row>
    <row r="1687" customFormat="false" ht="15" hidden="false" customHeight="false" outlineLevel="0" collapsed="false">
      <c r="A1687" s="25"/>
      <c r="B1687" s="21"/>
      <c r="C1687" s="21"/>
      <c r="D1687" s="26" t="str">
        <f aca="false">IF(C1687="","",IFERROR(INDEX('Cadastro Mestre'!$C$5:$C$504,MATCH(C1687,'Cadastro Mestre'!$A$5:$A$504,0)),"código não encontrado"))</f>
        <v/>
      </c>
      <c r="E1687" s="24" t="str">
        <f aca="false">IF(C1687="","",IFERROR(INDEX('Cadastro Mestre'!$Q$5:$Q$504,MATCH(C1687,'Cadastro Mestre'!$A$5:$A$504,0)),""))</f>
        <v/>
      </c>
      <c r="F1687" s="21"/>
      <c r="G1687" s="21"/>
      <c r="H1687" s="21"/>
      <c r="I1687" s="21"/>
    </row>
    <row r="1688" customFormat="false" ht="15" hidden="false" customHeight="false" outlineLevel="0" collapsed="false">
      <c r="A1688" s="25"/>
      <c r="B1688" s="21"/>
      <c r="C1688" s="21"/>
      <c r="D1688" s="26" t="str">
        <f aca="false">IF(C1688="","",IFERROR(INDEX('Cadastro Mestre'!$C$5:$C$504,MATCH(C1688,'Cadastro Mestre'!$A$5:$A$504,0)),"código não encontrado"))</f>
        <v/>
      </c>
      <c r="E1688" s="24" t="str">
        <f aca="false">IF(C1688="","",IFERROR(INDEX('Cadastro Mestre'!$Q$5:$Q$504,MATCH(C1688,'Cadastro Mestre'!$A$5:$A$504,0)),""))</f>
        <v/>
      </c>
      <c r="F1688" s="21"/>
      <c r="G1688" s="21"/>
      <c r="H1688" s="21"/>
      <c r="I1688" s="21"/>
    </row>
    <row r="1689" customFormat="false" ht="15" hidden="false" customHeight="false" outlineLevel="0" collapsed="false">
      <c r="A1689" s="25"/>
      <c r="B1689" s="21"/>
      <c r="C1689" s="21"/>
      <c r="D1689" s="26" t="str">
        <f aca="false">IF(C1689="","",IFERROR(INDEX('Cadastro Mestre'!$C$5:$C$504,MATCH(C1689,'Cadastro Mestre'!$A$5:$A$504,0)),"código não encontrado"))</f>
        <v/>
      </c>
      <c r="E1689" s="24" t="str">
        <f aca="false">IF(C1689="","",IFERROR(INDEX('Cadastro Mestre'!$Q$5:$Q$504,MATCH(C1689,'Cadastro Mestre'!$A$5:$A$504,0)),""))</f>
        <v/>
      </c>
      <c r="F1689" s="21"/>
      <c r="G1689" s="21"/>
      <c r="H1689" s="21"/>
      <c r="I1689" s="21"/>
    </row>
    <row r="1690" customFormat="false" ht="15" hidden="false" customHeight="false" outlineLevel="0" collapsed="false">
      <c r="A1690" s="25"/>
      <c r="B1690" s="21"/>
      <c r="C1690" s="21"/>
      <c r="D1690" s="26" t="str">
        <f aca="false">IF(C1690="","",IFERROR(INDEX('Cadastro Mestre'!$C$5:$C$504,MATCH(C1690,'Cadastro Mestre'!$A$5:$A$504,0)),"código não encontrado"))</f>
        <v/>
      </c>
      <c r="E1690" s="24" t="str">
        <f aca="false">IF(C1690="","",IFERROR(INDEX('Cadastro Mestre'!$Q$5:$Q$504,MATCH(C1690,'Cadastro Mestre'!$A$5:$A$504,0)),""))</f>
        <v/>
      </c>
      <c r="F1690" s="21"/>
      <c r="G1690" s="21"/>
      <c r="H1690" s="21"/>
      <c r="I1690" s="21"/>
    </row>
    <row r="1691" customFormat="false" ht="15" hidden="false" customHeight="false" outlineLevel="0" collapsed="false">
      <c r="A1691" s="25"/>
      <c r="B1691" s="21"/>
      <c r="C1691" s="21"/>
      <c r="D1691" s="26" t="str">
        <f aca="false">IF(C1691="","",IFERROR(INDEX('Cadastro Mestre'!$C$5:$C$504,MATCH(C1691,'Cadastro Mestre'!$A$5:$A$504,0)),"código não encontrado"))</f>
        <v/>
      </c>
      <c r="E1691" s="24" t="str">
        <f aca="false">IF(C1691="","",IFERROR(INDEX('Cadastro Mestre'!$Q$5:$Q$504,MATCH(C1691,'Cadastro Mestre'!$A$5:$A$504,0)),""))</f>
        <v/>
      </c>
      <c r="F1691" s="21"/>
      <c r="G1691" s="21"/>
      <c r="H1691" s="21"/>
      <c r="I1691" s="21"/>
    </row>
    <row r="1692" customFormat="false" ht="15" hidden="false" customHeight="false" outlineLevel="0" collapsed="false">
      <c r="A1692" s="25"/>
      <c r="B1692" s="21"/>
      <c r="C1692" s="21"/>
      <c r="D1692" s="26" t="str">
        <f aca="false">IF(C1692="","",IFERROR(INDEX('Cadastro Mestre'!$C$5:$C$504,MATCH(C1692,'Cadastro Mestre'!$A$5:$A$504,0)),"código não encontrado"))</f>
        <v/>
      </c>
      <c r="E1692" s="24" t="str">
        <f aca="false">IF(C1692="","",IFERROR(INDEX('Cadastro Mestre'!$Q$5:$Q$504,MATCH(C1692,'Cadastro Mestre'!$A$5:$A$504,0)),""))</f>
        <v/>
      </c>
      <c r="F1692" s="21"/>
      <c r="G1692" s="21"/>
      <c r="H1692" s="21"/>
      <c r="I1692" s="21"/>
    </row>
    <row r="1693" customFormat="false" ht="15" hidden="false" customHeight="false" outlineLevel="0" collapsed="false">
      <c r="A1693" s="25"/>
      <c r="B1693" s="21"/>
      <c r="C1693" s="21"/>
      <c r="D1693" s="26" t="str">
        <f aca="false">IF(C1693="","",IFERROR(INDEX('Cadastro Mestre'!$C$5:$C$504,MATCH(C1693,'Cadastro Mestre'!$A$5:$A$504,0)),"código não encontrado"))</f>
        <v/>
      </c>
      <c r="E1693" s="24" t="str">
        <f aca="false">IF(C1693="","",IFERROR(INDEX('Cadastro Mestre'!$Q$5:$Q$504,MATCH(C1693,'Cadastro Mestre'!$A$5:$A$504,0)),""))</f>
        <v/>
      </c>
      <c r="F1693" s="21"/>
      <c r="G1693" s="21"/>
      <c r="H1693" s="21"/>
      <c r="I1693" s="21"/>
    </row>
    <row r="1694" customFormat="false" ht="15" hidden="false" customHeight="false" outlineLevel="0" collapsed="false">
      <c r="A1694" s="25"/>
      <c r="B1694" s="21"/>
      <c r="C1694" s="21"/>
      <c r="D1694" s="26" t="str">
        <f aca="false">IF(C1694="","",IFERROR(INDEX('Cadastro Mestre'!$C$5:$C$504,MATCH(C1694,'Cadastro Mestre'!$A$5:$A$504,0)),"código não encontrado"))</f>
        <v/>
      </c>
      <c r="E1694" s="24" t="str">
        <f aca="false">IF(C1694="","",IFERROR(INDEX('Cadastro Mestre'!$Q$5:$Q$504,MATCH(C1694,'Cadastro Mestre'!$A$5:$A$504,0)),""))</f>
        <v/>
      </c>
      <c r="F1694" s="21"/>
      <c r="G1694" s="21"/>
      <c r="H1694" s="21"/>
      <c r="I1694" s="21"/>
    </row>
    <row r="1695" customFormat="false" ht="15" hidden="false" customHeight="false" outlineLevel="0" collapsed="false">
      <c r="A1695" s="25"/>
      <c r="B1695" s="21"/>
      <c r="C1695" s="21"/>
      <c r="D1695" s="26" t="str">
        <f aca="false">IF(C1695="","",IFERROR(INDEX('Cadastro Mestre'!$C$5:$C$504,MATCH(C1695,'Cadastro Mestre'!$A$5:$A$504,0)),"código não encontrado"))</f>
        <v/>
      </c>
      <c r="E1695" s="24" t="str">
        <f aca="false">IF(C1695="","",IFERROR(INDEX('Cadastro Mestre'!$Q$5:$Q$504,MATCH(C1695,'Cadastro Mestre'!$A$5:$A$504,0)),""))</f>
        <v/>
      </c>
      <c r="F1695" s="21"/>
      <c r="G1695" s="21"/>
      <c r="H1695" s="21"/>
      <c r="I1695" s="21"/>
    </row>
    <row r="1696" customFormat="false" ht="15" hidden="false" customHeight="false" outlineLevel="0" collapsed="false">
      <c r="A1696" s="25"/>
      <c r="B1696" s="21"/>
      <c r="C1696" s="21"/>
      <c r="D1696" s="26" t="str">
        <f aca="false">IF(C1696="","",IFERROR(INDEX('Cadastro Mestre'!$C$5:$C$504,MATCH(C1696,'Cadastro Mestre'!$A$5:$A$504,0)),"código não encontrado"))</f>
        <v/>
      </c>
      <c r="E1696" s="24" t="str">
        <f aca="false">IF(C1696="","",IFERROR(INDEX('Cadastro Mestre'!$Q$5:$Q$504,MATCH(C1696,'Cadastro Mestre'!$A$5:$A$504,0)),""))</f>
        <v/>
      </c>
      <c r="F1696" s="21"/>
      <c r="G1696" s="21"/>
      <c r="H1696" s="21"/>
      <c r="I1696" s="21"/>
    </row>
    <row r="1697" customFormat="false" ht="15" hidden="false" customHeight="false" outlineLevel="0" collapsed="false">
      <c r="A1697" s="25"/>
      <c r="B1697" s="21"/>
      <c r="C1697" s="21"/>
      <c r="D1697" s="26" t="str">
        <f aca="false">IF(C1697="","",IFERROR(INDEX('Cadastro Mestre'!$C$5:$C$504,MATCH(C1697,'Cadastro Mestre'!$A$5:$A$504,0)),"código não encontrado"))</f>
        <v/>
      </c>
      <c r="E1697" s="24" t="str">
        <f aca="false">IF(C1697="","",IFERROR(INDEX('Cadastro Mestre'!$Q$5:$Q$504,MATCH(C1697,'Cadastro Mestre'!$A$5:$A$504,0)),""))</f>
        <v/>
      </c>
      <c r="F1697" s="21"/>
      <c r="G1697" s="21"/>
      <c r="H1697" s="21"/>
      <c r="I1697" s="21"/>
    </row>
    <row r="1698" customFormat="false" ht="15" hidden="false" customHeight="false" outlineLevel="0" collapsed="false">
      <c r="A1698" s="25"/>
      <c r="B1698" s="21"/>
      <c r="C1698" s="21"/>
      <c r="D1698" s="26" t="str">
        <f aca="false">IF(C1698="","",IFERROR(INDEX('Cadastro Mestre'!$C$5:$C$504,MATCH(C1698,'Cadastro Mestre'!$A$5:$A$504,0)),"código não encontrado"))</f>
        <v/>
      </c>
      <c r="E1698" s="24" t="str">
        <f aca="false">IF(C1698="","",IFERROR(INDEX('Cadastro Mestre'!$Q$5:$Q$504,MATCH(C1698,'Cadastro Mestre'!$A$5:$A$504,0)),""))</f>
        <v/>
      </c>
      <c r="F1698" s="21"/>
      <c r="G1698" s="21"/>
      <c r="H1698" s="21"/>
      <c r="I1698" s="21"/>
    </row>
    <row r="1699" customFormat="false" ht="15" hidden="false" customHeight="false" outlineLevel="0" collapsed="false">
      <c r="A1699" s="25"/>
      <c r="B1699" s="21"/>
      <c r="C1699" s="21"/>
      <c r="D1699" s="26" t="str">
        <f aca="false">IF(C1699="","",IFERROR(INDEX('Cadastro Mestre'!$C$5:$C$504,MATCH(C1699,'Cadastro Mestre'!$A$5:$A$504,0)),"código não encontrado"))</f>
        <v/>
      </c>
      <c r="E1699" s="24" t="str">
        <f aca="false">IF(C1699="","",IFERROR(INDEX('Cadastro Mestre'!$Q$5:$Q$504,MATCH(C1699,'Cadastro Mestre'!$A$5:$A$504,0)),""))</f>
        <v/>
      </c>
      <c r="F1699" s="21"/>
      <c r="G1699" s="21"/>
      <c r="H1699" s="21"/>
      <c r="I1699" s="21"/>
    </row>
    <row r="1700" customFormat="false" ht="15" hidden="false" customHeight="false" outlineLevel="0" collapsed="false">
      <c r="A1700" s="25"/>
      <c r="B1700" s="21"/>
      <c r="C1700" s="21"/>
      <c r="D1700" s="26" t="str">
        <f aca="false">IF(C1700="","",IFERROR(INDEX('Cadastro Mestre'!$C$5:$C$504,MATCH(C1700,'Cadastro Mestre'!$A$5:$A$504,0)),"código não encontrado"))</f>
        <v/>
      </c>
      <c r="E1700" s="24" t="str">
        <f aca="false">IF(C1700="","",IFERROR(INDEX('Cadastro Mestre'!$Q$5:$Q$504,MATCH(C1700,'Cadastro Mestre'!$A$5:$A$504,0)),""))</f>
        <v/>
      </c>
      <c r="F1700" s="21"/>
      <c r="G1700" s="21"/>
      <c r="H1700" s="21"/>
      <c r="I1700" s="21"/>
    </row>
    <row r="1701" customFormat="false" ht="15" hidden="false" customHeight="false" outlineLevel="0" collapsed="false">
      <c r="A1701" s="25"/>
      <c r="B1701" s="21"/>
      <c r="C1701" s="21"/>
      <c r="D1701" s="26" t="str">
        <f aca="false">IF(C1701="","",IFERROR(INDEX('Cadastro Mestre'!$C$5:$C$504,MATCH(C1701,'Cadastro Mestre'!$A$5:$A$504,0)),"código não encontrado"))</f>
        <v/>
      </c>
      <c r="E1701" s="24" t="str">
        <f aca="false">IF(C1701="","",IFERROR(INDEX('Cadastro Mestre'!$Q$5:$Q$504,MATCH(C1701,'Cadastro Mestre'!$A$5:$A$504,0)),""))</f>
        <v/>
      </c>
      <c r="F1701" s="21"/>
      <c r="G1701" s="21"/>
      <c r="H1701" s="21"/>
      <c r="I1701" s="21"/>
    </row>
    <row r="1702" customFormat="false" ht="15" hidden="false" customHeight="false" outlineLevel="0" collapsed="false">
      <c r="A1702" s="25"/>
      <c r="B1702" s="21"/>
      <c r="C1702" s="21"/>
      <c r="D1702" s="26" t="str">
        <f aca="false">IF(C1702="","",IFERROR(INDEX('Cadastro Mestre'!$C$5:$C$504,MATCH(C1702,'Cadastro Mestre'!$A$5:$A$504,0)),"código não encontrado"))</f>
        <v/>
      </c>
      <c r="E1702" s="24" t="str">
        <f aca="false">IF(C1702="","",IFERROR(INDEX('Cadastro Mestre'!$Q$5:$Q$504,MATCH(C1702,'Cadastro Mestre'!$A$5:$A$504,0)),""))</f>
        <v/>
      </c>
      <c r="F1702" s="21"/>
      <c r="G1702" s="21"/>
      <c r="H1702" s="21"/>
      <c r="I1702" s="21"/>
    </row>
    <row r="1703" customFormat="false" ht="15" hidden="false" customHeight="false" outlineLevel="0" collapsed="false">
      <c r="A1703" s="25"/>
      <c r="B1703" s="21"/>
      <c r="C1703" s="21"/>
      <c r="D1703" s="26" t="str">
        <f aca="false">IF(C1703="","",IFERROR(INDEX('Cadastro Mestre'!$C$5:$C$504,MATCH(C1703,'Cadastro Mestre'!$A$5:$A$504,0)),"código não encontrado"))</f>
        <v/>
      </c>
      <c r="E1703" s="24" t="str">
        <f aca="false">IF(C1703="","",IFERROR(INDEX('Cadastro Mestre'!$Q$5:$Q$504,MATCH(C1703,'Cadastro Mestre'!$A$5:$A$504,0)),""))</f>
        <v/>
      </c>
      <c r="F1703" s="21"/>
      <c r="G1703" s="21"/>
      <c r="H1703" s="21"/>
      <c r="I1703" s="21"/>
    </row>
    <row r="1704" customFormat="false" ht="15" hidden="false" customHeight="false" outlineLevel="0" collapsed="false">
      <c r="A1704" s="25"/>
      <c r="B1704" s="21"/>
      <c r="C1704" s="21"/>
      <c r="D1704" s="26" t="str">
        <f aca="false">IF(C1704="","",IFERROR(INDEX('Cadastro Mestre'!$C$5:$C$504,MATCH(C1704,'Cadastro Mestre'!$A$5:$A$504,0)),"código não encontrado"))</f>
        <v/>
      </c>
      <c r="E1704" s="24" t="str">
        <f aca="false">IF(C1704="","",IFERROR(INDEX('Cadastro Mestre'!$Q$5:$Q$504,MATCH(C1704,'Cadastro Mestre'!$A$5:$A$504,0)),""))</f>
        <v/>
      </c>
      <c r="F1704" s="21"/>
      <c r="G1704" s="21"/>
      <c r="H1704" s="21"/>
      <c r="I1704" s="21"/>
    </row>
    <row r="1705" customFormat="false" ht="15" hidden="false" customHeight="false" outlineLevel="0" collapsed="false">
      <c r="A1705" s="25"/>
      <c r="B1705" s="21"/>
      <c r="C1705" s="21"/>
      <c r="D1705" s="26" t="str">
        <f aca="false">IF(C1705="","",IFERROR(INDEX('Cadastro Mestre'!$C$5:$C$504,MATCH(C1705,'Cadastro Mestre'!$A$5:$A$504,0)),"código não encontrado"))</f>
        <v/>
      </c>
      <c r="E1705" s="24" t="str">
        <f aca="false">IF(C1705="","",IFERROR(INDEX('Cadastro Mestre'!$Q$5:$Q$504,MATCH(C1705,'Cadastro Mestre'!$A$5:$A$504,0)),""))</f>
        <v/>
      </c>
      <c r="F1705" s="21"/>
      <c r="G1705" s="21"/>
      <c r="H1705" s="21"/>
      <c r="I1705" s="21"/>
    </row>
    <row r="1706" customFormat="false" ht="15" hidden="false" customHeight="false" outlineLevel="0" collapsed="false">
      <c r="A1706" s="25"/>
      <c r="B1706" s="21"/>
      <c r="C1706" s="21"/>
      <c r="D1706" s="26" t="str">
        <f aca="false">IF(C1706="","",IFERROR(INDEX('Cadastro Mestre'!$C$5:$C$504,MATCH(C1706,'Cadastro Mestre'!$A$5:$A$504,0)),"código não encontrado"))</f>
        <v/>
      </c>
      <c r="E1706" s="24" t="str">
        <f aca="false">IF(C1706="","",IFERROR(INDEX('Cadastro Mestre'!$Q$5:$Q$504,MATCH(C1706,'Cadastro Mestre'!$A$5:$A$504,0)),""))</f>
        <v/>
      </c>
      <c r="F1706" s="21"/>
      <c r="G1706" s="21"/>
      <c r="H1706" s="21"/>
      <c r="I1706" s="21"/>
    </row>
    <row r="1707" customFormat="false" ht="15" hidden="false" customHeight="false" outlineLevel="0" collapsed="false">
      <c r="A1707" s="25"/>
      <c r="B1707" s="21"/>
      <c r="C1707" s="21"/>
      <c r="D1707" s="26" t="str">
        <f aca="false">IF(C1707="","",IFERROR(INDEX('Cadastro Mestre'!$C$5:$C$504,MATCH(C1707,'Cadastro Mestre'!$A$5:$A$504,0)),"código não encontrado"))</f>
        <v/>
      </c>
      <c r="E1707" s="24" t="str">
        <f aca="false">IF(C1707="","",IFERROR(INDEX('Cadastro Mestre'!$Q$5:$Q$504,MATCH(C1707,'Cadastro Mestre'!$A$5:$A$504,0)),""))</f>
        <v/>
      </c>
      <c r="F1707" s="21"/>
      <c r="G1707" s="21"/>
      <c r="H1707" s="21"/>
      <c r="I1707" s="21"/>
    </row>
    <row r="1708" customFormat="false" ht="15" hidden="false" customHeight="false" outlineLevel="0" collapsed="false">
      <c r="A1708" s="25"/>
      <c r="B1708" s="21"/>
      <c r="C1708" s="21"/>
      <c r="D1708" s="26" t="str">
        <f aca="false">IF(C1708="","",IFERROR(INDEX('Cadastro Mestre'!$C$5:$C$504,MATCH(C1708,'Cadastro Mestre'!$A$5:$A$504,0)),"código não encontrado"))</f>
        <v/>
      </c>
      <c r="E1708" s="24" t="str">
        <f aca="false">IF(C1708="","",IFERROR(INDEX('Cadastro Mestre'!$Q$5:$Q$504,MATCH(C1708,'Cadastro Mestre'!$A$5:$A$504,0)),""))</f>
        <v/>
      </c>
      <c r="F1708" s="21"/>
      <c r="G1708" s="21"/>
      <c r="H1708" s="21"/>
      <c r="I1708" s="21"/>
    </row>
    <row r="1709" customFormat="false" ht="15" hidden="false" customHeight="false" outlineLevel="0" collapsed="false">
      <c r="A1709" s="25"/>
      <c r="B1709" s="21"/>
      <c r="C1709" s="21"/>
      <c r="D1709" s="26" t="str">
        <f aca="false">IF(C1709="","",IFERROR(INDEX('Cadastro Mestre'!$C$5:$C$504,MATCH(C1709,'Cadastro Mestre'!$A$5:$A$504,0)),"código não encontrado"))</f>
        <v/>
      </c>
      <c r="E1709" s="24" t="str">
        <f aca="false">IF(C1709="","",IFERROR(INDEX('Cadastro Mestre'!$Q$5:$Q$504,MATCH(C1709,'Cadastro Mestre'!$A$5:$A$504,0)),""))</f>
        <v/>
      </c>
      <c r="F1709" s="21"/>
      <c r="G1709" s="21"/>
      <c r="H1709" s="21"/>
      <c r="I1709" s="21"/>
    </row>
    <row r="1710" customFormat="false" ht="15" hidden="false" customHeight="false" outlineLevel="0" collapsed="false">
      <c r="A1710" s="25"/>
      <c r="B1710" s="21"/>
      <c r="C1710" s="21"/>
      <c r="D1710" s="26" t="str">
        <f aca="false">IF(C1710="","",IFERROR(INDEX('Cadastro Mestre'!$C$5:$C$504,MATCH(C1710,'Cadastro Mestre'!$A$5:$A$504,0)),"código não encontrado"))</f>
        <v/>
      </c>
      <c r="E1710" s="24" t="str">
        <f aca="false">IF(C1710="","",IFERROR(INDEX('Cadastro Mestre'!$Q$5:$Q$504,MATCH(C1710,'Cadastro Mestre'!$A$5:$A$504,0)),""))</f>
        <v/>
      </c>
      <c r="F1710" s="21"/>
      <c r="G1710" s="21"/>
      <c r="H1710" s="21"/>
      <c r="I1710" s="21"/>
    </row>
    <row r="1711" customFormat="false" ht="15" hidden="false" customHeight="false" outlineLevel="0" collapsed="false">
      <c r="A1711" s="25"/>
      <c r="B1711" s="21"/>
      <c r="C1711" s="21"/>
      <c r="D1711" s="26" t="str">
        <f aca="false">IF(C1711="","",IFERROR(INDEX('Cadastro Mestre'!$C$5:$C$504,MATCH(C1711,'Cadastro Mestre'!$A$5:$A$504,0)),"código não encontrado"))</f>
        <v/>
      </c>
      <c r="E1711" s="24" t="str">
        <f aca="false">IF(C1711="","",IFERROR(INDEX('Cadastro Mestre'!$Q$5:$Q$504,MATCH(C1711,'Cadastro Mestre'!$A$5:$A$504,0)),""))</f>
        <v/>
      </c>
      <c r="F1711" s="21"/>
      <c r="G1711" s="21"/>
      <c r="H1711" s="21"/>
      <c r="I1711" s="21"/>
    </row>
    <row r="1712" customFormat="false" ht="15" hidden="false" customHeight="false" outlineLevel="0" collapsed="false">
      <c r="A1712" s="25"/>
      <c r="B1712" s="21"/>
      <c r="C1712" s="21"/>
      <c r="D1712" s="26" t="str">
        <f aca="false">IF(C1712="","",IFERROR(INDEX('Cadastro Mestre'!$C$5:$C$504,MATCH(C1712,'Cadastro Mestre'!$A$5:$A$504,0)),"código não encontrado"))</f>
        <v/>
      </c>
      <c r="E1712" s="24" t="str">
        <f aca="false">IF(C1712="","",IFERROR(INDEX('Cadastro Mestre'!$Q$5:$Q$504,MATCH(C1712,'Cadastro Mestre'!$A$5:$A$504,0)),""))</f>
        <v/>
      </c>
      <c r="F1712" s="21"/>
      <c r="G1712" s="21"/>
      <c r="H1712" s="21"/>
      <c r="I1712" s="21"/>
    </row>
    <row r="1713" customFormat="false" ht="15" hidden="false" customHeight="false" outlineLevel="0" collapsed="false">
      <c r="A1713" s="25"/>
      <c r="B1713" s="21"/>
      <c r="C1713" s="21"/>
      <c r="D1713" s="26" t="str">
        <f aca="false">IF(C1713="","",IFERROR(INDEX('Cadastro Mestre'!$C$5:$C$504,MATCH(C1713,'Cadastro Mestre'!$A$5:$A$504,0)),"código não encontrado"))</f>
        <v/>
      </c>
      <c r="E1713" s="24" t="str">
        <f aca="false">IF(C1713="","",IFERROR(INDEX('Cadastro Mestre'!$Q$5:$Q$504,MATCH(C1713,'Cadastro Mestre'!$A$5:$A$504,0)),""))</f>
        <v/>
      </c>
      <c r="F1713" s="21"/>
      <c r="G1713" s="21"/>
      <c r="H1713" s="21"/>
      <c r="I1713" s="21"/>
    </row>
    <row r="1714" customFormat="false" ht="15" hidden="false" customHeight="false" outlineLevel="0" collapsed="false">
      <c r="A1714" s="25"/>
      <c r="B1714" s="21"/>
      <c r="C1714" s="21"/>
      <c r="D1714" s="26" t="str">
        <f aca="false">IF(C1714="","",IFERROR(INDEX('Cadastro Mestre'!$C$5:$C$504,MATCH(C1714,'Cadastro Mestre'!$A$5:$A$504,0)),"código não encontrado"))</f>
        <v/>
      </c>
      <c r="E1714" s="24" t="str">
        <f aca="false">IF(C1714="","",IFERROR(INDEX('Cadastro Mestre'!$Q$5:$Q$504,MATCH(C1714,'Cadastro Mestre'!$A$5:$A$504,0)),""))</f>
        <v/>
      </c>
      <c r="F1714" s="21"/>
      <c r="G1714" s="21"/>
      <c r="H1714" s="21"/>
      <c r="I1714" s="21"/>
    </row>
    <row r="1715" customFormat="false" ht="15" hidden="false" customHeight="false" outlineLevel="0" collapsed="false">
      <c r="A1715" s="25"/>
      <c r="B1715" s="21"/>
      <c r="C1715" s="21"/>
      <c r="D1715" s="26" t="str">
        <f aca="false">IF(C1715="","",IFERROR(INDEX('Cadastro Mestre'!$C$5:$C$504,MATCH(C1715,'Cadastro Mestre'!$A$5:$A$504,0)),"código não encontrado"))</f>
        <v/>
      </c>
      <c r="E1715" s="24" t="str">
        <f aca="false">IF(C1715="","",IFERROR(INDEX('Cadastro Mestre'!$Q$5:$Q$504,MATCH(C1715,'Cadastro Mestre'!$A$5:$A$504,0)),""))</f>
        <v/>
      </c>
      <c r="F1715" s="21"/>
      <c r="G1715" s="21"/>
      <c r="H1715" s="21"/>
      <c r="I1715" s="21"/>
    </row>
    <row r="1716" customFormat="false" ht="15" hidden="false" customHeight="false" outlineLevel="0" collapsed="false">
      <c r="A1716" s="25"/>
      <c r="B1716" s="21"/>
      <c r="C1716" s="21"/>
      <c r="D1716" s="26" t="str">
        <f aca="false">IF(C1716="","",IFERROR(INDEX('Cadastro Mestre'!$C$5:$C$504,MATCH(C1716,'Cadastro Mestre'!$A$5:$A$504,0)),"código não encontrado"))</f>
        <v/>
      </c>
      <c r="E1716" s="24" t="str">
        <f aca="false">IF(C1716="","",IFERROR(INDEX('Cadastro Mestre'!$Q$5:$Q$504,MATCH(C1716,'Cadastro Mestre'!$A$5:$A$504,0)),""))</f>
        <v/>
      </c>
      <c r="F1716" s="21"/>
      <c r="G1716" s="21"/>
      <c r="H1716" s="21"/>
      <c r="I1716" s="21"/>
    </row>
    <row r="1717" customFormat="false" ht="15" hidden="false" customHeight="false" outlineLevel="0" collapsed="false">
      <c r="A1717" s="25"/>
      <c r="B1717" s="21"/>
      <c r="C1717" s="21"/>
      <c r="D1717" s="26" t="str">
        <f aca="false">IF(C1717="","",IFERROR(INDEX('Cadastro Mestre'!$C$5:$C$504,MATCH(C1717,'Cadastro Mestre'!$A$5:$A$504,0)),"código não encontrado"))</f>
        <v/>
      </c>
      <c r="E1717" s="24" t="str">
        <f aca="false">IF(C1717="","",IFERROR(INDEX('Cadastro Mestre'!$Q$5:$Q$504,MATCH(C1717,'Cadastro Mestre'!$A$5:$A$504,0)),""))</f>
        <v/>
      </c>
      <c r="F1717" s="21"/>
      <c r="G1717" s="21"/>
      <c r="H1717" s="21"/>
      <c r="I1717" s="21"/>
    </row>
    <row r="1718" customFormat="false" ht="15" hidden="false" customHeight="false" outlineLevel="0" collapsed="false">
      <c r="A1718" s="25"/>
      <c r="B1718" s="21"/>
      <c r="C1718" s="21"/>
      <c r="D1718" s="26" t="str">
        <f aca="false">IF(C1718="","",IFERROR(INDEX('Cadastro Mestre'!$C$5:$C$504,MATCH(C1718,'Cadastro Mestre'!$A$5:$A$504,0)),"código não encontrado"))</f>
        <v/>
      </c>
      <c r="E1718" s="24" t="str">
        <f aca="false">IF(C1718="","",IFERROR(INDEX('Cadastro Mestre'!$Q$5:$Q$504,MATCH(C1718,'Cadastro Mestre'!$A$5:$A$504,0)),""))</f>
        <v/>
      </c>
      <c r="F1718" s="21"/>
      <c r="G1718" s="21"/>
      <c r="H1718" s="21"/>
      <c r="I1718" s="21"/>
    </row>
    <row r="1719" customFormat="false" ht="15" hidden="false" customHeight="false" outlineLevel="0" collapsed="false">
      <c r="A1719" s="25"/>
      <c r="B1719" s="21"/>
      <c r="C1719" s="21"/>
      <c r="D1719" s="26" t="str">
        <f aca="false">IF(C1719="","",IFERROR(INDEX('Cadastro Mestre'!$C$5:$C$504,MATCH(C1719,'Cadastro Mestre'!$A$5:$A$504,0)),"código não encontrado"))</f>
        <v/>
      </c>
      <c r="E1719" s="24" t="str">
        <f aca="false">IF(C1719="","",IFERROR(INDEX('Cadastro Mestre'!$Q$5:$Q$504,MATCH(C1719,'Cadastro Mestre'!$A$5:$A$504,0)),""))</f>
        <v/>
      </c>
      <c r="F1719" s="21"/>
      <c r="G1719" s="21"/>
      <c r="H1719" s="21"/>
      <c r="I1719" s="21"/>
    </row>
    <row r="1720" customFormat="false" ht="15" hidden="false" customHeight="false" outlineLevel="0" collapsed="false">
      <c r="A1720" s="25"/>
      <c r="B1720" s="21"/>
      <c r="C1720" s="21"/>
      <c r="D1720" s="26" t="str">
        <f aca="false">IF(C1720="","",IFERROR(INDEX('Cadastro Mestre'!$C$5:$C$504,MATCH(C1720,'Cadastro Mestre'!$A$5:$A$504,0)),"código não encontrado"))</f>
        <v/>
      </c>
      <c r="E1720" s="24" t="str">
        <f aca="false">IF(C1720="","",IFERROR(INDEX('Cadastro Mestre'!$Q$5:$Q$504,MATCH(C1720,'Cadastro Mestre'!$A$5:$A$504,0)),""))</f>
        <v/>
      </c>
      <c r="F1720" s="21"/>
      <c r="G1720" s="21"/>
      <c r="H1720" s="21"/>
      <c r="I1720" s="21"/>
    </row>
    <row r="1721" customFormat="false" ht="15" hidden="false" customHeight="false" outlineLevel="0" collapsed="false">
      <c r="A1721" s="25"/>
      <c r="B1721" s="21"/>
      <c r="C1721" s="21"/>
      <c r="D1721" s="26" t="str">
        <f aca="false">IF(C1721="","",IFERROR(INDEX('Cadastro Mestre'!$C$5:$C$504,MATCH(C1721,'Cadastro Mestre'!$A$5:$A$504,0)),"código não encontrado"))</f>
        <v/>
      </c>
      <c r="E1721" s="24" t="str">
        <f aca="false">IF(C1721="","",IFERROR(INDEX('Cadastro Mestre'!$Q$5:$Q$504,MATCH(C1721,'Cadastro Mestre'!$A$5:$A$504,0)),""))</f>
        <v/>
      </c>
      <c r="F1721" s="21"/>
      <c r="G1721" s="21"/>
      <c r="H1721" s="21"/>
      <c r="I1721" s="21"/>
    </row>
    <row r="1722" customFormat="false" ht="15" hidden="false" customHeight="false" outlineLevel="0" collapsed="false">
      <c r="A1722" s="25"/>
      <c r="B1722" s="21"/>
      <c r="C1722" s="21"/>
      <c r="D1722" s="26" t="str">
        <f aca="false">IF(C1722="","",IFERROR(INDEX('Cadastro Mestre'!$C$5:$C$504,MATCH(C1722,'Cadastro Mestre'!$A$5:$A$504,0)),"código não encontrado"))</f>
        <v/>
      </c>
      <c r="E1722" s="24" t="str">
        <f aca="false">IF(C1722="","",IFERROR(INDEX('Cadastro Mestre'!$Q$5:$Q$504,MATCH(C1722,'Cadastro Mestre'!$A$5:$A$504,0)),""))</f>
        <v/>
      </c>
      <c r="F1722" s="21"/>
      <c r="G1722" s="21"/>
      <c r="H1722" s="21"/>
      <c r="I1722" s="21"/>
    </row>
    <row r="1723" customFormat="false" ht="15" hidden="false" customHeight="false" outlineLevel="0" collapsed="false">
      <c r="A1723" s="25"/>
      <c r="B1723" s="21"/>
      <c r="C1723" s="21"/>
      <c r="D1723" s="26" t="str">
        <f aca="false">IF(C1723="","",IFERROR(INDEX('Cadastro Mestre'!$C$5:$C$504,MATCH(C1723,'Cadastro Mestre'!$A$5:$A$504,0)),"código não encontrado"))</f>
        <v/>
      </c>
      <c r="E1723" s="24" t="str">
        <f aca="false">IF(C1723="","",IFERROR(INDEX('Cadastro Mestre'!$Q$5:$Q$504,MATCH(C1723,'Cadastro Mestre'!$A$5:$A$504,0)),""))</f>
        <v/>
      </c>
      <c r="F1723" s="21"/>
      <c r="G1723" s="21"/>
      <c r="H1723" s="21"/>
      <c r="I1723" s="21"/>
    </row>
    <row r="1724" customFormat="false" ht="15" hidden="false" customHeight="false" outlineLevel="0" collapsed="false">
      <c r="A1724" s="25"/>
      <c r="B1724" s="21"/>
      <c r="C1724" s="21"/>
      <c r="D1724" s="26" t="str">
        <f aca="false">IF(C1724="","",IFERROR(INDEX('Cadastro Mestre'!$C$5:$C$504,MATCH(C1724,'Cadastro Mestre'!$A$5:$A$504,0)),"código não encontrado"))</f>
        <v/>
      </c>
      <c r="E1724" s="24" t="str">
        <f aca="false">IF(C1724="","",IFERROR(INDEX('Cadastro Mestre'!$Q$5:$Q$504,MATCH(C1724,'Cadastro Mestre'!$A$5:$A$504,0)),""))</f>
        <v/>
      </c>
      <c r="F1724" s="21"/>
      <c r="G1724" s="21"/>
      <c r="H1724" s="21"/>
      <c r="I1724" s="21"/>
    </row>
    <row r="1725" customFormat="false" ht="15" hidden="false" customHeight="false" outlineLevel="0" collapsed="false">
      <c r="A1725" s="25"/>
      <c r="B1725" s="21"/>
      <c r="C1725" s="21"/>
      <c r="D1725" s="26" t="str">
        <f aca="false">IF(C1725="","",IFERROR(INDEX('Cadastro Mestre'!$C$5:$C$504,MATCH(C1725,'Cadastro Mestre'!$A$5:$A$504,0)),"código não encontrado"))</f>
        <v/>
      </c>
      <c r="E1725" s="24" t="str">
        <f aca="false">IF(C1725="","",IFERROR(INDEX('Cadastro Mestre'!$Q$5:$Q$504,MATCH(C1725,'Cadastro Mestre'!$A$5:$A$504,0)),""))</f>
        <v/>
      </c>
      <c r="F1725" s="21"/>
      <c r="G1725" s="21"/>
      <c r="H1725" s="21"/>
      <c r="I1725" s="21"/>
    </row>
    <row r="1726" customFormat="false" ht="15" hidden="false" customHeight="false" outlineLevel="0" collapsed="false">
      <c r="A1726" s="25"/>
      <c r="B1726" s="21"/>
      <c r="C1726" s="21"/>
      <c r="D1726" s="26" t="str">
        <f aca="false">IF(C1726="","",IFERROR(INDEX('Cadastro Mestre'!$C$5:$C$504,MATCH(C1726,'Cadastro Mestre'!$A$5:$A$504,0)),"código não encontrado"))</f>
        <v/>
      </c>
      <c r="E1726" s="24" t="str">
        <f aca="false">IF(C1726="","",IFERROR(INDEX('Cadastro Mestre'!$Q$5:$Q$504,MATCH(C1726,'Cadastro Mestre'!$A$5:$A$504,0)),""))</f>
        <v/>
      </c>
      <c r="F1726" s="21"/>
      <c r="G1726" s="21"/>
      <c r="H1726" s="21"/>
      <c r="I1726" s="21"/>
    </row>
    <row r="1727" customFormat="false" ht="15" hidden="false" customHeight="false" outlineLevel="0" collapsed="false">
      <c r="A1727" s="25"/>
      <c r="B1727" s="21"/>
      <c r="C1727" s="21"/>
      <c r="D1727" s="26" t="str">
        <f aca="false">IF(C1727="","",IFERROR(INDEX('Cadastro Mestre'!$C$5:$C$504,MATCH(C1727,'Cadastro Mestre'!$A$5:$A$504,0)),"código não encontrado"))</f>
        <v/>
      </c>
      <c r="E1727" s="24" t="str">
        <f aca="false">IF(C1727="","",IFERROR(INDEX('Cadastro Mestre'!$Q$5:$Q$504,MATCH(C1727,'Cadastro Mestre'!$A$5:$A$504,0)),""))</f>
        <v/>
      </c>
      <c r="F1727" s="21"/>
      <c r="G1727" s="21"/>
      <c r="H1727" s="21"/>
      <c r="I1727" s="21"/>
    </row>
    <row r="1728" customFormat="false" ht="15" hidden="false" customHeight="false" outlineLevel="0" collapsed="false">
      <c r="A1728" s="25"/>
      <c r="B1728" s="21"/>
      <c r="C1728" s="21"/>
      <c r="D1728" s="26" t="str">
        <f aca="false">IF(C1728="","",IFERROR(INDEX('Cadastro Mestre'!$C$5:$C$504,MATCH(C1728,'Cadastro Mestre'!$A$5:$A$504,0)),"código não encontrado"))</f>
        <v/>
      </c>
      <c r="E1728" s="24" t="str">
        <f aca="false">IF(C1728="","",IFERROR(INDEX('Cadastro Mestre'!$Q$5:$Q$504,MATCH(C1728,'Cadastro Mestre'!$A$5:$A$504,0)),""))</f>
        <v/>
      </c>
      <c r="F1728" s="21"/>
      <c r="G1728" s="21"/>
      <c r="H1728" s="21"/>
      <c r="I1728" s="21"/>
    </row>
    <row r="1729" customFormat="false" ht="15" hidden="false" customHeight="false" outlineLevel="0" collapsed="false">
      <c r="A1729" s="25"/>
      <c r="B1729" s="21"/>
      <c r="C1729" s="21"/>
      <c r="D1729" s="26" t="str">
        <f aca="false">IF(C1729="","",IFERROR(INDEX('Cadastro Mestre'!$C$5:$C$504,MATCH(C1729,'Cadastro Mestre'!$A$5:$A$504,0)),"código não encontrado"))</f>
        <v/>
      </c>
      <c r="E1729" s="24" t="str">
        <f aca="false">IF(C1729="","",IFERROR(INDEX('Cadastro Mestre'!$Q$5:$Q$504,MATCH(C1729,'Cadastro Mestre'!$A$5:$A$504,0)),""))</f>
        <v/>
      </c>
      <c r="F1729" s="21"/>
      <c r="G1729" s="21"/>
      <c r="H1729" s="21"/>
      <c r="I1729" s="21"/>
    </row>
    <row r="1730" customFormat="false" ht="15" hidden="false" customHeight="false" outlineLevel="0" collapsed="false">
      <c r="A1730" s="25"/>
      <c r="B1730" s="21"/>
      <c r="C1730" s="21"/>
      <c r="D1730" s="26" t="str">
        <f aca="false">IF(C1730="","",IFERROR(INDEX('Cadastro Mestre'!$C$5:$C$504,MATCH(C1730,'Cadastro Mestre'!$A$5:$A$504,0)),"código não encontrado"))</f>
        <v/>
      </c>
      <c r="E1730" s="24" t="str">
        <f aca="false">IF(C1730="","",IFERROR(INDEX('Cadastro Mestre'!$Q$5:$Q$504,MATCH(C1730,'Cadastro Mestre'!$A$5:$A$504,0)),""))</f>
        <v/>
      </c>
      <c r="F1730" s="21"/>
      <c r="G1730" s="21"/>
      <c r="H1730" s="21"/>
      <c r="I1730" s="21"/>
    </row>
    <row r="1731" customFormat="false" ht="15" hidden="false" customHeight="false" outlineLevel="0" collapsed="false">
      <c r="A1731" s="25"/>
      <c r="B1731" s="21"/>
      <c r="C1731" s="21"/>
      <c r="D1731" s="26" t="str">
        <f aca="false">IF(C1731="","",IFERROR(INDEX('Cadastro Mestre'!$C$5:$C$504,MATCH(C1731,'Cadastro Mestre'!$A$5:$A$504,0)),"código não encontrado"))</f>
        <v/>
      </c>
      <c r="E1731" s="24" t="str">
        <f aca="false">IF(C1731="","",IFERROR(INDEX('Cadastro Mestre'!$Q$5:$Q$504,MATCH(C1731,'Cadastro Mestre'!$A$5:$A$504,0)),""))</f>
        <v/>
      </c>
      <c r="F1731" s="21"/>
      <c r="G1731" s="21"/>
      <c r="H1731" s="21"/>
      <c r="I1731" s="21"/>
    </row>
    <row r="1732" customFormat="false" ht="15" hidden="false" customHeight="false" outlineLevel="0" collapsed="false">
      <c r="A1732" s="25"/>
      <c r="B1732" s="21"/>
      <c r="C1732" s="21"/>
      <c r="D1732" s="26" t="str">
        <f aca="false">IF(C1732="","",IFERROR(INDEX('Cadastro Mestre'!$C$5:$C$504,MATCH(C1732,'Cadastro Mestre'!$A$5:$A$504,0)),"código não encontrado"))</f>
        <v/>
      </c>
      <c r="E1732" s="24" t="str">
        <f aca="false">IF(C1732="","",IFERROR(INDEX('Cadastro Mestre'!$Q$5:$Q$504,MATCH(C1732,'Cadastro Mestre'!$A$5:$A$504,0)),""))</f>
        <v/>
      </c>
      <c r="F1732" s="21"/>
      <c r="G1732" s="21"/>
      <c r="H1732" s="21"/>
      <c r="I1732" s="21"/>
    </row>
    <row r="1733" customFormat="false" ht="15" hidden="false" customHeight="false" outlineLevel="0" collapsed="false">
      <c r="A1733" s="25"/>
      <c r="B1733" s="21"/>
      <c r="C1733" s="21"/>
      <c r="D1733" s="26" t="str">
        <f aca="false">IF(C1733="","",IFERROR(INDEX('Cadastro Mestre'!$C$5:$C$504,MATCH(C1733,'Cadastro Mestre'!$A$5:$A$504,0)),"código não encontrado"))</f>
        <v/>
      </c>
      <c r="E1733" s="24" t="str">
        <f aca="false">IF(C1733="","",IFERROR(INDEX('Cadastro Mestre'!$Q$5:$Q$504,MATCH(C1733,'Cadastro Mestre'!$A$5:$A$504,0)),""))</f>
        <v/>
      </c>
      <c r="F1733" s="21"/>
      <c r="G1733" s="21"/>
      <c r="H1733" s="21"/>
      <c r="I1733" s="21"/>
    </row>
    <row r="1734" customFormat="false" ht="15" hidden="false" customHeight="false" outlineLevel="0" collapsed="false">
      <c r="A1734" s="25"/>
      <c r="B1734" s="21"/>
      <c r="C1734" s="21"/>
      <c r="D1734" s="26" t="str">
        <f aca="false">IF(C1734="","",IFERROR(INDEX('Cadastro Mestre'!$C$5:$C$504,MATCH(C1734,'Cadastro Mestre'!$A$5:$A$504,0)),"código não encontrado"))</f>
        <v/>
      </c>
      <c r="E1734" s="24" t="str">
        <f aca="false">IF(C1734="","",IFERROR(INDEX('Cadastro Mestre'!$Q$5:$Q$504,MATCH(C1734,'Cadastro Mestre'!$A$5:$A$504,0)),""))</f>
        <v/>
      </c>
      <c r="F1734" s="21"/>
      <c r="G1734" s="21"/>
      <c r="H1734" s="21"/>
      <c r="I1734" s="21"/>
    </row>
    <row r="1735" customFormat="false" ht="15" hidden="false" customHeight="false" outlineLevel="0" collapsed="false">
      <c r="A1735" s="25"/>
      <c r="B1735" s="21"/>
      <c r="C1735" s="21"/>
      <c r="D1735" s="26" t="str">
        <f aca="false">IF(C1735="","",IFERROR(INDEX('Cadastro Mestre'!$C$5:$C$504,MATCH(C1735,'Cadastro Mestre'!$A$5:$A$504,0)),"código não encontrado"))</f>
        <v/>
      </c>
      <c r="E1735" s="24" t="str">
        <f aca="false">IF(C1735="","",IFERROR(INDEX('Cadastro Mestre'!$Q$5:$Q$504,MATCH(C1735,'Cadastro Mestre'!$A$5:$A$504,0)),""))</f>
        <v/>
      </c>
      <c r="F1735" s="21"/>
      <c r="G1735" s="21"/>
      <c r="H1735" s="21"/>
      <c r="I1735" s="21"/>
    </row>
    <row r="1736" customFormat="false" ht="15" hidden="false" customHeight="false" outlineLevel="0" collapsed="false">
      <c r="A1736" s="25"/>
      <c r="B1736" s="21"/>
      <c r="C1736" s="21"/>
      <c r="D1736" s="26" t="str">
        <f aca="false">IF(C1736="","",IFERROR(INDEX('Cadastro Mestre'!$C$5:$C$504,MATCH(C1736,'Cadastro Mestre'!$A$5:$A$504,0)),"código não encontrado"))</f>
        <v/>
      </c>
      <c r="E1736" s="24" t="str">
        <f aca="false">IF(C1736="","",IFERROR(INDEX('Cadastro Mestre'!$Q$5:$Q$504,MATCH(C1736,'Cadastro Mestre'!$A$5:$A$504,0)),""))</f>
        <v/>
      </c>
      <c r="F1736" s="21"/>
      <c r="G1736" s="21"/>
      <c r="H1736" s="21"/>
      <c r="I1736" s="21"/>
    </row>
    <row r="1737" customFormat="false" ht="15" hidden="false" customHeight="false" outlineLevel="0" collapsed="false">
      <c r="A1737" s="25"/>
      <c r="B1737" s="21"/>
      <c r="C1737" s="21"/>
      <c r="D1737" s="26" t="str">
        <f aca="false">IF(C1737="","",IFERROR(INDEX('Cadastro Mestre'!$C$5:$C$504,MATCH(C1737,'Cadastro Mestre'!$A$5:$A$504,0)),"código não encontrado"))</f>
        <v/>
      </c>
      <c r="E1737" s="24" t="str">
        <f aca="false">IF(C1737="","",IFERROR(INDEX('Cadastro Mestre'!$Q$5:$Q$504,MATCH(C1737,'Cadastro Mestre'!$A$5:$A$504,0)),""))</f>
        <v/>
      </c>
      <c r="F1737" s="21"/>
      <c r="G1737" s="21"/>
      <c r="H1737" s="21"/>
      <c r="I1737" s="21"/>
    </row>
    <row r="1738" customFormat="false" ht="15" hidden="false" customHeight="false" outlineLevel="0" collapsed="false">
      <c r="A1738" s="25"/>
      <c r="B1738" s="21"/>
      <c r="C1738" s="21"/>
      <c r="D1738" s="26" t="str">
        <f aca="false">IF(C1738="","",IFERROR(INDEX('Cadastro Mestre'!$C$5:$C$504,MATCH(C1738,'Cadastro Mestre'!$A$5:$A$504,0)),"código não encontrado"))</f>
        <v/>
      </c>
      <c r="E1738" s="24" t="str">
        <f aca="false">IF(C1738="","",IFERROR(INDEX('Cadastro Mestre'!$Q$5:$Q$504,MATCH(C1738,'Cadastro Mestre'!$A$5:$A$504,0)),""))</f>
        <v/>
      </c>
      <c r="F1738" s="21"/>
      <c r="G1738" s="21"/>
      <c r="H1738" s="21"/>
      <c r="I1738" s="21"/>
    </row>
    <row r="1739" customFormat="false" ht="15" hidden="false" customHeight="false" outlineLevel="0" collapsed="false">
      <c r="A1739" s="25"/>
      <c r="B1739" s="21"/>
      <c r="C1739" s="21"/>
      <c r="D1739" s="26" t="str">
        <f aca="false">IF(C1739="","",IFERROR(INDEX('Cadastro Mestre'!$C$5:$C$504,MATCH(C1739,'Cadastro Mestre'!$A$5:$A$504,0)),"código não encontrado"))</f>
        <v/>
      </c>
      <c r="E1739" s="24" t="str">
        <f aca="false">IF(C1739="","",IFERROR(INDEX('Cadastro Mestre'!$Q$5:$Q$504,MATCH(C1739,'Cadastro Mestre'!$A$5:$A$504,0)),""))</f>
        <v/>
      </c>
      <c r="F1739" s="21"/>
      <c r="G1739" s="21"/>
      <c r="H1739" s="21"/>
      <c r="I1739" s="21"/>
    </row>
    <row r="1740" customFormat="false" ht="15" hidden="false" customHeight="false" outlineLevel="0" collapsed="false">
      <c r="A1740" s="25"/>
      <c r="B1740" s="21"/>
      <c r="C1740" s="21"/>
      <c r="D1740" s="26" t="str">
        <f aca="false">IF(C1740="","",IFERROR(INDEX('Cadastro Mestre'!$C$5:$C$504,MATCH(C1740,'Cadastro Mestre'!$A$5:$A$504,0)),"código não encontrado"))</f>
        <v/>
      </c>
      <c r="E1740" s="24" t="str">
        <f aca="false">IF(C1740="","",IFERROR(INDEX('Cadastro Mestre'!$Q$5:$Q$504,MATCH(C1740,'Cadastro Mestre'!$A$5:$A$504,0)),""))</f>
        <v/>
      </c>
      <c r="F1740" s="21"/>
      <c r="G1740" s="21"/>
      <c r="H1740" s="21"/>
      <c r="I1740" s="21"/>
    </row>
    <row r="1741" customFormat="false" ht="15" hidden="false" customHeight="false" outlineLevel="0" collapsed="false">
      <c r="A1741" s="25"/>
      <c r="B1741" s="21"/>
      <c r="C1741" s="21"/>
      <c r="D1741" s="26" t="str">
        <f aca="false">IF(C1741="","",IFERROR(INDEX('Cadastro Mestre'!$C$5:$C$504,MATCH(C1741,'Cadastro Mestre'!$A$5:$A$504,0)),"código não encontrado"))</f>
        <v/>
      </c>
      <c r="E1741" s="24" t="str">
        <f aca="false">IF(C1741="","",IFERROR(INDEX('Cadastro Mestre'!$Q$5:$Q$504,MATCH(C1741,'Cadastro Mestre'!$A$5:$A$504,0)),""))</f>
        <v/>
      </c>
      <c r="F1741" s="21"/>
      <c r="G1741" s="21"/>
      <c r="H1741" s="21"/>
      <c r="I1741" s="21"/>
    </row>
    <row r="1742" customFormat="false" ht="15" hidden="false" customHeight="false" outlineLevel="0" collapsed="false">
      <c r="A1742" s="25"/>
      <c r="B1742" s="21"/>
      <c r="C1742" s="21"/>
      <c r="D1742" s="26" t="str">
        <f aca="false">IF(C1742="","",IFERROR(INDEX('Cadastro Mestre'!$C$5:$C$504,MATCH(C1742,'Cadastro Mestre'!$A$5:$A$504,0)),"código não encontrado"))</f>
        <v/>
      </c>
      <c r="E1742" s="24" t="str">
        <f aca="false">IF(C1742="","",IFERROR(INDEX('Cadastro Mestre'!$Q$5:$Q$504,MATCH(C1742,'Cadastro Mestre'!$A$5:$A$504,0)),""))</f>
        <v/>
      </c>
      <c r="F1742" s="21"/>
      <c r="G1742" s="21"/>
      <c r="H1742" s="21"/>
      <c r="I1742" s="21"/>
    </row>
    <row r="1743" customFormat="false" ht="15" hidden="false" customHeight="false" outlineLevel="0" collapsed="false">
      <c r="A1743" s="25"/>
      <c r="B1743" s="21"/>
      <c r="C1743" s="21"/>
      <c r="D1743" s="26" t="str">
        <f aca="false">IF(C1743="","",IFERROR(INDEX('Cadastro Mestre'!$C$5:$C$504,MATCH(C1743,'Cadastro Mestre'!$A$5:$A$504,0)),"código não encontrado"))</f>
        <v/>
      </c>
      <c r="E1743" s="24" t="str">
        <f aca="false">IF(C1743="","",IFERROR(INDEX('Cadastro Mestre'!$Q$5:$Q$504,MATCH(C1743,'Cadastro Mestre'!$A$5:$A$504,0)),""))</f>
        <v/>
      </c>
      <c r="F1743" s="21"/>
      <c r="G1743" s="21"/>
      <c r="H1743" s="21"/>
      <c r="I1743" s="21"/>
    </row>
    <row r="1744" customFormat="false" ht="15" hidden="false" customHeight="false" outlineLevel="0" collapsed="false">
      <c r="A1744" s="25"/>
      <c r="B1744" s="21"/>
      <c r="C1744" s="21"/>
      <c r="D1744" s="26" t="str">
        <f aca="false">IF(C1744="","",IFERROR(INDEX('Cadastro Mestre'!$C$5:$C$504,MATCH(C1744,'Cadastro Mestre'!$A$5:$A$504,0)),"código não encontrado"))</f>
        <v/>
      </c>
      <c r="E1744" s="24" t="str">
        <f aca="false">IF(C1744="","",IFERROR(INDEX('Cadastro Mestre'!$Q$5:$Q$504,MATCH(C1744,'Cadastro Mestre'!$A$5:$A$504,0)),""))</f>
        <v/>
      </c>
      <c r="F1744" s="21"/>
      <c r="G1744" s="21"/>
      <c r="H1744" s="21"/>
      <c r="I1744" s="21"/>
    </row>
    <row r="1745" customFormat="false" ht="15" hidden="false" customHeight="false" outlineLevel="0" collapsed="false">
      <c r="A1745" s="25"/>
      <c r="B1745" s="21"/>
      <c r="C1745" s="21"/>
      <c r="D1745" s="26" t="str">
        <f aca="false">IF(C1745="","",IFERROR(INDEX('Cadastro Mestre'!$C$5:$C$504,MATCH(C1745,'Cadastro Mestre'!$A$5:$A$504,0)),"código não encontrado"))</f>
        <v/>
      </c>
      <c r="E1745" s="24" t="str">
        <f aca="false">IF(C1745="","",IFERROR(INDEX('Cadastro Mestre'!$Q$5:$Q$504,MATCH(C1745,'Cadastro Mestre'!$A$5:$A$504,0)),""))</f>
        <v/>
      </c>
      <c r="F1745" s="21"/>
      <c r="G1745" s="21"/>
      <c r="H1745" s="21"/>
      <c r="I1745" s="21"/>
    </row>
    <row r="1746" customFormat="false" ht="15" hidden="false" customHeight="false" outlineLevel="0" collapsed="false">
      <c r="A1746" s="25"/>
      <c r="B1746" s="21"/>
      <c r="C1746" s="21"/>
      <c r="D1746" s="26" t="str">
        <f aca="false">IF(C1746="","",IFERROR(INDEX('Cadastro Mestre'!$C$5:$C$504,MATCH(C1746,'Cadastro Mestre'!$A$5:$A$504,0)),"código não encontrado"))</f>
        <v/>
      </c>
      <c r="E1746" s="24" t="str">
        <f aca="false">IF(C1746="","",IFERROR(INDEX('Cadastro Mestre'!$Q$5:$Q$504,MATCH(C1746,'Cadastro Mestre'!$A$5:$A$504,0)),""))</f>
        <v/>
      </c>
      <c r="F1746" s="21"/>
      <c r="G1746" s="21"/>
      <c r="H1746" s="21"/>
      <c r="I1746" s="21"/>
    </row>
    <row r="1747" customFormat="false" ht="15" hidden="false" customHeight="false" outlineLevel="0" collapsed="false">
      <c r="A1747" s="25"/>
      <c r="B1747" s="21"/>
      <c r="C1747" s="21"/>
      <c r="D1747" s="26" t="str">
        <f aca="false">IF(C1747="","",IFERROR(INDEX('Cadastro Mestre'!$C$5:$C$504,MATCH(C1747,'Cadastro Mestre'!$A$5:$A$504,0)),"código não encontrado"))</f>
        <v/>
      </c>
      <c r="E1747" s="24" t="str">
        <f aca="false">IF(C1747="","",IFERROR(INDEX('Cadastro Mestre'!$Q$5:$Q$504,MATCH(C1747,'Cadastro Mestre'!$A$5:$A$504,0)),""))</f>
        <v/>
      </c>
      <c r="F1747" s="21"/>
      <c r="G1747" s="21"/>
      <c r="H1747" s="21"/>
      <c r="I1747" s="21"/>
    </row>
    <row r="1748" customFormat="false" ht="15" hidden="false" customHeight="false" outlineLevel="0" collapsed="false">
      <c r="A1748" s="25"/>
      <c r="B1748" s="21"/>
      <c r="C1748" s="21"/>
      <c r="D1748" s="26" t="str">
        <f aca="false">IF(C1748="","",IFERROR(INDEX('Cadastro Mestre'!$C$5:$C$504,MATCH(C1748,'Cadastro Mestre'!$A$5:$A$504,0)),"código não encontrado"))</f>
        <v/>
      </c>
      <c r="E1748" s="24" t="str">
        <f aca="false">IF(C1748="","",IFERROR(INDEX('Cadastro Mestre'!$Q$5:$Q$504,MATCH(C1748,'Cadastro Mestre'!$A$5:$A$504,0)),""))</f>
        <v/>
      </c>
      <c r="F1748" s="21"/>
      <c r="G1748" s="21"/>
      <c r="H1748" s="21"/>
      <c r="I1748" s="21"/>
    </row>
    <row r="1749" customFormat="false" ht="15" hidden="false" customHeight="false" outlineLevel="0" collapsed="false">
      <c r="A1749" s="25"/>
      <c r="B1749" s="21"/>
      <c r="C1749" s="21"/>
      <c r="D1749" s="26" t="str">
        <f aca="false">IF(C1749="","",IFERROR(INDEX('Cadastro Mestre'!$C$5:$C$504,MATCH(C1749,'Cadastro Mestre'!$A$5:$A$504,0)),"código não encontrado"))</f>
        <v/>
      </c>
      <c r="E1749" s="24" t="str">
        <f aca="false">IF(C1749="","",IFERROR(INDEX('Cadastro Mestre'!$Q$5:$Q$504,MATCH(C1749,'Cadastro Mestre'!$A$5:$A$504,0)),""))</f>
        <v/>
      </c>
      <c r="F1749" s="21"/>
      <c r="G1749" s="21"/>
      <c r="H1749" s="21"/>
      <c r="I1749" s="21"/>
    </row>
    <row r="1750" customFormat="false" ht="15" hidden="false" customHeight="false" outlineLevel="0" collapsed="false">
      <c r="A1750" s="25"/>
      <c r="B1750" s="21"/>
      <c r="C1750" s="21"/>
      <c r="D1750" s="26" t="str">
        <f aca="false">IF(C1750="","",IFERROR(INDEX('Cadastro Mestre'!$C$5:$C$504,MATCH(C1750,'Cadastro Mestre'!$A$5:$A$504,0)),"código não encontrado"))</f>
        <v/>
      </c>
      <c r="E1750" s="24" t="str">
        <f aca="false">IF(C1750="","",IFERROR(INDEX('Cadastro Mestre'!$Q$5:$Q$504,MATCH(C1750,'Cadastro Mestre'!$A$5:$A$504,0)),""))</f>
        <v/>
      </c>
      <c r="F1750" s="21"/>
      <c r="G1750" s="21"/>
      <c r="H1750" s="21"/>
      <c r="I1750" s="21"/>
    </row>
    <row r="1751" customFormat="false" ht="15" hidden="false" customHeight="false" outlineLevel="0" collapsed="false">
      <c r="A1751" s="25"/>
      <c r="B1751" s="21"/>
      <c r="C1751" s="21"/>
      <c r="D1751" s="26" t="str">
        <f aca="false">IF(C1751="","",IFERROR(INDEX('Cadastro Mestre'!$C$5:$C$504,MATCH(C1751,'Cadastro Mestre'!$A$5:$A$504,0)),"código não encontrado"))</f>
        <v/>
      </c>
      <c r="E1751" s="24" t="str">
        <f aca="false">IF(C1751="","",IFERROR(INDEX('Cadastro Mestre'!$Q$5:$Q$504,MATCH(C1751,'Cadastro Mestre'!$A$5:$A$504,0)),""))</f>
        <v/>
      </c>
      <c r="F1751" s="21"/>
      <c r="G1751" s="21"/>
      <c r="H1751" s="21"/>
      <c r="I1751" s="21"/>
    </row>
    <row r="1752" customFormat="false" ht="15" hidden="false" customHeight="false" outlineLevel="0" collapsed="false">
      <c r="A1752" s="25"/>
      <c r="B1752" s="21"/>
      <c r="C1752" s="21"/>
      <c r="D1752" s="26" t="str">
        <f aca="false">IF(C1752="","",IFERROR(INDEX('Cadastro Mestre'!$C$5:$C$504,MATCH(C1752,'Cadastro Mestre'!$A$5:$A$504,0)),"código não encontrado"))</f>
        <v/>
      </c>
      <c r="E1752" s="24" t="str">
        <f aca="false">IF(C1752="","",IFERROR(INDEX('Cadastro Mestre'!$Q$5:$Q$504,MATCH(C1752,'Cadastro Mestre'!$A$5:$A$504,0)),""))</f>
        <v/>
      </c>
      <c r="F1752" s="21"/>
      <c r="G1752" s="21"/>
      <c r="H1752" s="21"/>
      <c r="I1752" s="21"/>
    </row>
    <row r="1753" customFormat="false" ht="15" hidden="false" customHeight="false" outlineLevel="0" collapsed="false">
      <c r="A1753" s="25"/>
      <c r="B1753" s="21"/>
      <c r="C1753" s="21"/>
      <c r="D1753" s="26" t="str">
        <f aca="false">IF(C1753="","",IFERROR(INDEX('Cadastro Mestre'!$C$5:$C$504,MATCH(C1753,'Cadastro Mestre'!$A$5:$A$504,0)),"código não encontrado"))</f>
        <v/>
      </c>
      <c r="E1753" s="24" t="str">
        <f aca="false">IF(C1753="","",IFERROR(INDEX('Cadastro Mestre'!$Q$5:$Q$504,MATCH(C1753,'Cadastro Mestre'!$A$5:$A$504,0)),""))</f>
        <v/>
      </c>
      <c r="F1753" s="21"/>
      <c r="G1753" s="21"/>
      <c r="H1753" s="21"/>
      <c r="I1753" s="21"/>
    </row>
    <row r="1754" customFormat="false" ht="15" hidden="false" customHeight="false" outlineLevel="0" collapsed="false">
      <c r="A1754" s="25"/>
      <c r="B1754" s="21"/>
      <c r="C1754" s="21"/>
      <c r="D1754" s="26" t="str">
        <f aca="false">IF(C1754="","",IFERROR(INDEX('Cadastro Mestre'!$C$5:$C$504,MATCH(C1754,'Cadastro Mestre'!$A$5:$A$504,0)),"código não encontrado"))</f>
        <v/>
      </c>
      <c r="E1754" s="24" t="str">
        <f aca="false">IF(C1754="","",IFERROR(INDEX('Cadastro Mestre'!$Q$5:$Q$504,MATCH(C1754,'Cadastro Mestre'!$A$5:$A$504,0)),""))</f>
        <v/>
      </c>
      <c r="F1754" s="21"/>
      <c r="G1754" s="21"/>
      <c r="H1754" s="21"/>
      <c r="I1754" s="21"/>
    </row>
    <row r="1755" customFormat="false" ht="15" hidden="false" customHeight="false" outlineLevel="0" collapsed="false">
      <c r="A1755" s="25"/>
      <c r="B1755" s="21"/>
      <c r="C1755" s="21"/>
      <c r="D1755" s="26" t="str">
        <f aca="false">IF(C1755="","",IFERROR(INDEX('Cadastro Mestre'!$C$5:$C$504,MATCH(C1755,'Cadastro Mestre'!$A$5:$A$504,0)),"código não encontrado"))</f>
        <v/>
      </c>
      <c r="E1755" s="24" t="str">
        <f aca="false">IF(C1755="","",IFERROR(INDEX('Cadastro Mestre'!$Q$5:$Q$504,MATCH(C1755,'Cadastro Mestre'!$A$5:$A$504,0)),""))</f>
        <v/>
      </c>
      <c r="F1755" s="21"/>
      <c r="G1755" s="21"/>
      <c r="H1755" s="21"/>
      <c r="I1755" s="21"/>
    </row>
    <row r="1756" customFormat="false" ht="15" hidden="false" customHeight="false" outlineLevel="0" collapsed="false">
      <c r="A1756" s="25"/>
      <c r="B1756" s="21"/>
      <c r="C1756" s="21"/>
      <c r="D1756" s="26" t="str">
        <f aca="false">IF(C1756="","",IFERROR(INDEX('Cadastro Mestre'!$C$5:$C$504,MATCH(C1756,'Cadastro Mestre'!$A$5:$A$504,0)),"código não encontrado"))</f>
        <v/>
      </c>
      <c r="E1756" s="24" t="str">
        <f aca="false">IF(C1756="","",IFERROR(INDEX('Cadastro Mestre'!$Q$5:$Q$504,MATCH(C1756,'Cadastro Mestre'!$A$5:$A$504,0)),""))</f>
        <v/>
      </c>
      <c r="F1756" s="21"/>
      <c r="G1756" s="21"/>
      <c r="H1756" s="21"/>
      <c r="I1756" s="21"/>
    </row>
    <row r="1757" customFormat="false" ht="15" hidden="false" customHeight="false" outlineLevel="0" collapsed="false">
      <c r="A1757" s="25"/>
      <c r="B1757" s="21"/>
      <c r="C1757" s="21"/>
      <c r="D1757" s="26" t="str">
        <f aca="false">IF(C1757="","",IFERROR(INDEX('Cadastro Mestre'!$C$5:$C$504,MATCH(C1757,'Cadastro Mestre'!$A$5:$A$504,0)),"código não encontrado"))</f>
        <v/>
      </c>
      <c r="E1757" s="24" t="str">
        <f aca="false">IF(C1757="","",IFERROR(INDEX('Cadastro Mestre'!$Q$5:$Q$504,MATCH(C1757,'Cadastro Mestre'!$A$5:$A$504,0)),""))</f>
        <v/>
      </c>
      <c r="F1757" s="21"/>
      <c r="G1757" s="21"/>
      <c r="H1757" s="21"/>
      <c r="I1757" s="21"/>
    </row>
    <row r="1758" customFormat="false" ht="15" hidden="false" customHeight="false" outlineLevel="0" collapsed="false">
      <c r="A1758" s="25"/>
      <c r="B1758" s="21"/>
      <c r="C1758" s="21"/>
      <c r="D1758" s="26" t="str">
        <f aca="false">IF(C1758="","",IFERROR(INDEX('Cadastro Mestre'!$C$5:$C$504,MATCH(C1758,'Cadastro Mestre'!$A$5:$A$504,0)),"código não encontrado"))</f>
        <v/>
      </c>
      <c r="E1758" s="24" t="str">
        <f aca="false">IF(C1758="","",IFERROR(INDEX('Cadastro Mestre'!$Q$5:$Q$504,MATCH(C1758,'Cadastro Mestre'!$A$5:$A$504,0)),""))</f>
        <v/>
      </c>
      <c r="F1758" s="21"/>
      <c r="G1758" s="21"/>
      <c r="H1758" s="21"/>
      <c r="I1758" s="21"/>
    </row>
    <row r="1759" customFormat="false" ht="15" hidden="false" customHeight="false" outlineLevel="0" collapsed="false">
      <c r="A1759" s="25"/>
      <c r="B1759" s="21"/>
      <c r="C1759" s="21"/>
      <c r="D1759" s="26" t="str">
        <f aca="false">IF(C1759="","",IFERROR(INDEX('Cadastro Mestre'!$C$5:$C$504,MATCH(C1759,'Cadastro Mestre'!$A$5:$A$504,0)),"código não encontrado"))</f>
        <v/>
      </c>
      <c r="E1759" s="24" t="str">
        <f aca="false">IF(C1759="","",IFERROR(INDEX('Cadastro Mestre'!$Q$5:$Q$504,MATCH(C1759,'Cadastro Mestre'!$A$5:$A$504,0)),""))</f>
        <v/>
      </c>
      <c r="F1759" s="21"/>
      <c r="G1759" s="21"/>
      <c r="H1759" s="21"/>
      <c r="I1759" s="21"/>
    </row>
    <row r="1760" customFormat="false" ht="15" hidden="false" customHeight="false" outlineLevel="0" collapsed="false">
      <c r="A1760" s="25"/>
      <c r="B1760" s="21"/>
      <c r="C1760" s="21"/>
      <c r="D1760" s="26" t="str">
        <f aca="false">IF(C1760="","",IFERROR(INDEX('Cadastro Mestre'!$C$5:$C$504,MATCH(C1760,'Cadastro Mestre'!$A$5:$A$504,0)),"código não encontrado"))</f>
        <v/>
      </c>
      <c r="E1760" s="24" t="str">
        <f aca="false">IF(C1760="","",IFERROR(INDEX('Cadastro Mestre'!$Q$5:$Q$504,MATCH(C1760,'Cadastro Mestre'!$A$5:$A$504,0)),""))</f>
        <v/>
      </c>
      <c r="F1760" s="21"/>
      <c r="G1760" s="21"/>
      <c r="H1760" s="21"/>
      <c r="I1760" s="21"/>
    </row>
    <row r="1761" customFormat="false" ht="15" hidden="false" customHeight="false" outlineLevel="0" collapsed="false">
      <c r="A1761" s="25"/>
      <c r="B1761" s="21"/>
      <c r="C1761" s="21"/>
      <c r="D1761" s="26" t="str">
        <f aca="false">IF(C1761="","",IFERROR(INDEX('Cadastro Mestre'!$C$5:$C$504,MATCH(C1761,'Cadastro Mestre'!$A$5:$A$504,0)),"código não encontrado"))</f>
        <v/>
      </c>
      <c r="E1761" s="24" t="str">
        <f aca="false">IF(C1761="","",IFERROR(INDEX('Cadastro Mestre'!$Q$5:$Q$504,MATCH(C1761,'Cadastro Mestre'!$A$5:$A$504,0)),""))</f>
        <v/>
      </c>
      <c r="F1761" s="21"/>
      <c r="G1761" s="21"/>
      <c r="H1761" s="21"/>
      <c r="I1761" s="21"/>
    </row>
    <row r="1762" customFormat="false" ht="15" hidden="false" customHeight="false" outlineLevel="0" collapsed="false">
      <c r="A1762" s="25"/>
      <c r="B1762" s="21"/>
      <c r="C1762" s="21"/>
      <c r="D1762" s="26" t="str">
        <f aca="false">IF(C1762="","",IFERROR(INDEX('Cadastro Mestre'!$C$5:$C$504,MATCH(C1762,'Cadastro Mestre'!$A$5:$A$504,0)),"código não encontrado"))</f>
        <v/>
      </c>
      <c r="E1762" s="24" t="str">
        <f aca="false">IF(C1762="","",IFERROR(INDEX('Cadastro Mestre'!$Q$5:$Q$504,MATCH(C1762,'Cadastro Mestre'!$A$5:$A$504,0)),""))</f>
        <v/>
      </c>
      <c r="F1762" s="21"/>
      <c r="G1762" s="21"/>
      <c r="H1762" s="21"/>
      <c r="I1762" s="21"/>
    </row>
    <row r="1763" customFormat="false" ht="15" hidden="false" customHeight="false" outlineLevel="0" collapsed="false">
      <c r="A1763" s="25"/>
      <c r="B1763" s="21"/>
      <c r="C1763" s="21"/>
      <c r="D1763" s="26" t="str">
        <f aca="false">IF(C1763="","",IFERROR(INDEX('Cadastro Mestre'!$C$5:$C$504,MATCH(C1763,'Cadastro Mestre'!$A$5:$A$504,0)),"código não encontrado"))</f>
        <v/>
      </c>
      <c r="E1763" s="24" t="str">
        <f aca="false">IF(C1763="","",IFERROR(INDEX('Cadastro Mestre'!$Q$5:$Q$504,MATCH(C1763,'Cadastro Mestre'!$A$5:$A$504,0)),""))</f>
        <v/>
      </c>
      <c r="F1763" s="21"/>
      <c r="G1763" s="21"/>
      <c r="H1763" s="21"/>
      <c r="I1763" s="21"/>
    </row>
    <row r="1764" customFormat="false" ht="15" hidden="false" customHeight="false" outlineLevel="0" collapsed="false">
      <c r="A1764" s="25"/>
      <c r="B1764" s="21"/>
      <c r="C1764" s="21"/>
      <c r="D1764" s="26" t="str">
        <f aca="false">IF(C1764="","",IFERROR(INDEX('Cadastro Mestre'!$C$5:$C$504,MATCH(C1764,'Cadastro Mestre'!$A$5:$A$504,0)),"código não encontrado"))</f>
        <v/>
      </c>
      <c r="E1764" s="24" t="str">
        <f aca="false">IF(C1764="","",IFERROR(INDEX('Cadastro Mestre'!$Q$5:$Q$504,MATCH(C1764,'Cadastro Mestre'!$A$5:$A$504,0)),""))</f>
        <v/>
      </c>
      <c r="F1764" s="21"/>
      <c r="G1764" s="21"/>
      <c r="H1764" s="21"/>
      <c r="I1764" s="21"/>
    </row>
    <row r="1765" customFormat="false" ht="15" hidden="false" customHeight="false" outlineLevel="0" collapsed="false">
      <c r="A1765" s="25"/>
      <c r="B1765" s="21"/>
      <c r="C1765" s="21"/>
      <c r="D1765" s="26" t="str">
        <f aca="false">IF(C1765="","",IFERROR(INDEX('Cadastro Mestre'!$C$5:$C$504,MATCH(C1765,'Cadastro Mestre'!$A$5:$A$504,0)),"código não encontrado"))</f>
        <v/>
      </c>
      <c r="E1765" s="24" t="str">
        <f aca="false">IF(C1765="","",IFERROR(INDEX('Cadastro Mestre'!$Q$5:$Q$504,MATCH(C1765,'Cadastro Mestre'!$A$5:$A$504,0)),""))</f>
        <v/>
      </c>
      <c r="F1765" s="21"/>
      <c r="G1765" s="21"/>
      <c r="H1765" s="21"/>
      <c r="I1765" s="21"/>
    </row>
    <row r="1766" customFormat="false" ht="15" hidden="false" customHeight="false" outlineLevel="0" collapsed="false">
      <c r="A1766" s="25"/>
      <c r="B1766" s="21"/>
      <c r="C1766" s="21"/>
      <c r="D1766" s="26" t="str">
        <f aca="false">IF(C1766="","",IFERROR(INDEX('Cadastro Mestre'!$C$5:$C$504,MATCH(C1766,'Cadastro Mestre'!$A$5:$A$504,0)),"código não encontrado"))</f>
        <v/>
      </c>
      <c r="E1766" s="24" t="str">
        <f aca="false">IF(C1766="","",IFERROR(INDEX('Cadastro Mestre'!$Q$5:$Q$504,MATCH(C1766,'Cadastro Mestre'!$A$5:$A$504,0)),""))</f>
        <v/>
      </c>
      <c r="F1766" s="21"/>
      <c r="G1766" s="21"/>
      <c r="H1766" s="21"/>
      <c r="I1766" s="21"/>
    </row>
    <row r="1767" customFormat="false" ht="15" hidden="false" customHeight="false" outlineLevel="0" collapsed="false">
      <c r="A1767" s="25"/>
      <c r="B1767" s="21"/>
      <c r="C1767" s="21"/>
      <c r="D1767" s="26" t="str">
        <f aca="false">IF(C1767="","",IFERROR(INDEX('Cadastro Mestre'!$C$5:$C$504,MATCH(C1767,'Cadastro Mestre'!$A$5:$A$504,0)),"código não encontrado"))</f>
        <v/>
      </c>
      <c r="E1767" s="24" t="str">
        <f aca="false">IF(C1767="","",IFERROR(INDEX('Cadastro Mestre'!$Q$5:$Q$504,MATCH(C1767,'Cadastro Mestre'!$A$5:$A$504,0)),""))</f>
        <v/>
      </c>
      <c r="F1767" s="21"/>
      <c r="G1767" s="21"/>
      <c r="H1767" s="21"/>
      <c r="I1767" s="21"/>
    </row>
    <row r="1768" customFormat="false" ht="15" hidden="false" customHeight="false" outlineLevel="0" collapsed="false">
      <c r="A1768" s="25"/>
      <c r="B1768" s="21"/>
      <c r="C1768" s="21"/>
      <c r="D1768" s="26" t="str">
        <f aca="false">IF(C1768="","",IFERROR(INDEX('Cadastro Mestre'!$C$5:$C$504,MATCH(C1768,'Cadastro Mestre'!$A$5:$A$504,0)),"código não encontrado"))</f>
        <v/>
      </c>
      <c r="E1768" s="24" t="str">
        <f aca="false">IF(C1768="","",IFERROR(INDEX('Cadastro Mestre'!$Q$5:$Q$504,MATCH(C1768,'Cadastro Mestre'!$A$5:$A$504,0)),""))</f>
        <v/>
      </c>
      <c r="F1768" s="21"/>
      <c r="G1768" s="21"/>
      <c r="H1768" s="21"/>
      <c r="I1768" s="21"/>
    </row>
    <row r="1769" customFormat="false" ht="15" hidden="false" customHeight="false" outlineLevel="0" collapsed="false">
      <c r="A1769" s="25"/>
      <c r="B1769" s="21"/>
      <c r="C1769" s="21"/>
      <c r="D1769" s="26" t="str">
        <f aca="false">IF(C1769="","",IFERROR(INDEX('Cadastro Mestre'!$C$5:$C$504,MATCH(C1769,'Cadastro Mestre'!$A$5:$A$504,0)),"código não encontrado"))</f>
        <v/>
      </c>
      <c r="E1769" s="24" t="str">
        <f aca="false">IF(C1769="","",IFERROR(INDEX('Cadastro Mestre'!$Q$5:$Q$504,MATCH(C1769,'Cadastro Mestre'!$A$5:$A$504,0)),""))</f>
        <v/>
      </c>
      <c r="F1769" s="21"/>
      <c r="G1769" s="21"/>
      <c r="H1769" s="21"/>
      <c r="I1769" s="21"/>
    </row>
    <row r="1770" customFormat="false" ht="15" hidden="false" customHeight="false" outlineLevel="0" collapsed="false">
      <c r="A1770" s="25"/>
      <c r="B1770" s="21"/>
      <c r="C1770" s="21"/>
      <c r="D1770" s="26" t="str">
        <f aca="false">IF(C1770="","",IFERROR(INDEX('Cadastro Mestre'!$C$5:$C$504,MATCH(C1770,'Cadastro Mestre'!$A$5:$A$504,0)),"código não encontrado"))</f>
        <v/>
      </c>
      <c r="E1770" s="24" t="str">
        <f aca="false">IF(C1770="","",IFERROR(INDEX('Cadastro Mestre'!$Q$5:$Q$504,MATCH(C1770,'Cadastro Mestre'!$A$5:$A$504,0)),""))</f>
        <v/>
      </c>
      <c r="F1770" s="21"/>
      <c r="G1770" s="21"/>
      <c r="H1770" s="21"/>
      <c r="I1770" s="21"/>
    </row>
    <row r="1771" customFormat="false" ht="15" hidden="false" customHeight="false" outlineLevel="0" collapsed="false">
      <c r="A1771" s="25"/>
      <c r="B1771" s="21"/>
      <c r="C1771" s="21"/>
      <c r="D1771" s="26" t="str">
        <f aca="false">IF(C1771="","",IFERROR(INDEX('Cadastro Mestre'!$C$5:$C$504,MATCH(C1771,'Cadastro Mestre'!$A$5:$A$504,0)),"código não encontrado"))</f>
        <v/>
      </c>
      <c r="E1771" s="24" t="str">
        <f aca="false">IF(C1771="","",IFERROR(INDEX('Cadastro Mestre'!$Q$5:$Q$504,MATCH(C1771,'Cadastro Mestre'!$A$5:$A$504,0)),""))</f>
        <v/>
      </c>
      <c r="F1771" s="21"/>
      <c r="G1771" s="21"/>
      <c r="H1771" s="21"/>
      <c r="I1771" s="21"/>
    </row>
    <row r="1772" customFormat="false" ht="15" hidden="false" customHeight="false" outlineLevel="0" collapsed="false">
      <c r="A1772" s="25"/>
      <c r="B1772" s="21"/>
      <c r="C1772" s="21"/>
      <c r="D1772" s="26" t="str">
        <f aca="false">IF(C1772="","",IFERROR(INDEX('Cadastro Mestre'!$C$5:$C$504,MATCH(C1772,'Cadastro Mestre'!$A$5:$A$504,0)),"código não encontrado"))</f>
        <v/>
      </c>
      <c r="E1772" s="24" t="str">
        <f aca="false">IF(C1772="","",IFERROR(INDEX('Cadastro Mestre'!$Q$5:$Q$504,MATCH(C1772,'Cadastro Mestre'!$A$5:$A$504,0)),""))</f>
        <v/>
      </c>
      <c r="F1772" s="21"/>
      <c r="G1772" s="21"/>
      <c r="H1772" s="21"/>
      <c r="I1772" s="21"/>
    </row>
    <row r="1773" customFormat="false" ht="15" hidden="false" customHeight="false" outlineLevel="0" collapsed="false">
      <c r="A1773" s="25"/>
      <c r="B1773" s="21"/>
      <c r="C1773" s="21"/>
      <c r="D1773" s="26" t="str">
        <f aca="false">IF(C1773="","",IFERROR(INDEX('Cadastro Mestre'!$C$5:$C$504,MATCH(C1773,'Cadastro Mestre'!$A$5:$A$504,0)),"código não encontrado"))</f>
        <v/>
      </c>
      <c r="E1773" s="24" t="str">
        <f aca="false">IF(C1773="","",IFERROR(INDEX('Cadastro Mestre'!$Q$5:$Q$504,MATCH(C1773,'Cadastro Mestre'!$A$5:$A$504,0)),""))</f>
        <v/>
      </c>
      <c r="F1773" s="21"/>
      <c r="G1773" s="21"/>
      <c r="H1773" s="21"/>
      <c r="I1773" s="21"/>
    </row>
    <row r="1774" customFormat="false" ht="15" hidden="false" customHeight="false" outlineLevel="0" collapsed="false">
      <c r="A1774" s="25"/>
      <c r="B1774" s="21"/>
      <c r="C1774" s="21"/>
      <c r="D1774" s="26" t="str">
        <f aca="false">IF(C1774="","",IFERROR(INDEX('Cadastro Mestre'!$C$5:$C$504,MATCH(C1774,'Cadastro Mestre'!$A$5:$A$504,0)),"código não encontrado"))</f>
        <v/>
      </c>
      <c r="E1774" s="24" t="str">
        <f aca="false">IF(C1774="","",IFERROR(INDEX('Cadastro Mestre'!$Q$5:$Q$504,MATCH(C1774,'Cadastro Mestre'!$A$5:$A$504,0)),""))</f>
        <v/>
      </c>
      <c r="F1774" s="21"/>
      <c r="G1774" s="21"/>
      <c r="H1774" s="21"/>
      <c r="I1774" s="21"/>
    </row>
    <row r="1775" customFormat="false" ht="15" hidden="false" customHeight="false" outlineLevel="0" collapsed="false">
      <c r="A1775" s="25"/>
      <c r="B1775" s="21"/>
      <c r="C1775" s="21"/>
      <c r="D1775" s="26" t="str">
        <f aca="false">IF(C1775="","",IFERROR(INDEX('Cadastro Mestre'!$C$5:$C$504,MATCH(C1775,'Cadastro Mestre'!$A$5:$A$504,0)),"código não encontrado"))</f>
        <v/>
      </c>
      <c r="E1775" s="24" t="str">
        <f aca="false">IF(C1775="","",IFERROR(INDEX('Cadastro Mestre'!$Q$5:$Q$504,MATCH(C1775,'Cadastro Mestre'!$A$5:$A$504,0)),""))</f>
        <v/>
      </c>
      <c r="F1775" s="21"/>
      <c r="G1775" s="21"/>
      <c r="H1775" s="21"/>
      <c r="I1775" s="21"/>
    </row>
    <row r="1776" customFormat="false" ht="15" hidden="false" customHeight="false" outlineLevel="0" collapsed="false">
      <c r="A1776" s="25"/>
      <c r="B1776" s="21"/>
      <c r="C1776" s="21"/>
      <c r="D1776" s="26" t="str">
        <f aca="false">IF(C1776="","",IFERROR(INDEX('Cadastro Mestre'!$C$5:$C$504,MATCH(C1776,'Cadastro Mestre'!$A$5:$A$504,0)),"código não encontrado"))</f>
        <v/>
      </c>
      <c r="E1776" s="24" t="str">
        <f aca="false">IF(C1776="","",IFERROR(INDEX('Cadastro Mestre'!$Q$5:$Q$504,MATCH(C1776,'Cadastro Mestre'!$A$5:$A$504,0)),""))</f>
        <v/>
      </c>
      <c r="F1776" s="21"/>
      <c r="G1776" s="21"/>
      <c r="H1776" s="21"/>
      <c r="I1776" s="21"/>
    </row>
    <row r="1777" customFormat="false" ht="15" hidden="false" customHeight="false" outlineLevel="0" collapsed="false">
      <c r="A1777" s="25"/>
      <c r="B1777" s="21"/>
      <c r="C1777" s="21"/>
      <c r="D1777" s="26" t="str">
        <f aca="false">IF(C1777="","",IFERROR(INDEX('Cadastro Mestre'!$C$5:$C$504,MATCH(C1777,'Cadastro Mestre'!$A$5:$A$504,0)),"código não encontrado"))</f>
        <v/>
      </c>
      <c r="E1777" s="24" t="str">
        <f aca="false">IF(C1777="","",IFERROR(INDEX('Cadastro Mestre'!$Q$5:$Q$504,MATCH(C1777,'Cadastro Mestre'!$A$5:$A$504,0)),""))</f>
        <v/>
      </c>
      <c r="F1777" s="21"/>
      <c r="G1777" s="21"/>
      <c r="H1777" s="21"/>
      <c r="I1777" s="21"/>
    </row>
    <row r="1778" customFormat="false" ht="15" hidden="false" customHeight="false" outlineLevel="0" collapsed="false">
      <c r="A1778" s="25"/>
      <c r="B1778" s="21"/>
      <c r="C1778" s="21"/>
      <c r="D1778" s="26" t="str">
        <f aca="false">IF(C1778="","",IFERROR(INDEX('Cadastro Mestre'!$C$5:$C$504,MATCH(C1778,'Cadastro Mestre'!$A$5:$A$504,0)),"código não encontrado"))</f>
        <v/>
      </c>
      <c r="E1778" s="24" t="str">
        <f aca="false">IF(C1778="","",IFERROR(INDEX('Cadastro Mestre'!$Q$5:$Q$504,MATCH(C1778,'Cadastro Mestre'!$A$5:$A$504,0)),""))</f>
        <v/>
      </c>
      <c r="F1778" s="21"/>
      <c r="G1778" s="21"/>
      <c r="H1778" s="21"/>
      <c r="I1778" s="21"/>
    </row>
    <row r="1779" customFormat="false" ht="15" hidden="false" customHeight="false" outlineLevel="0" collapsed="false">
      <c r="A1779" s="25"/>
      <c r="B1779" s="21"/>
      <c r="C1779" s="21"/>
      <c r="D1779" s="26" t="str">
        <f aca="false">IF(C1779="","",IFERROR(INDEX('Cadastro Mestre'!$C$5:$C$504,MATCH(C1779,'Cadastro Mestre'!$A$5:$A$504,0)),"código não encontrado"))</f>
        <v/>
      </c>
      <c r="E1779" s="24" t="str">
        <f aca="false">IF(C1779="","",IFERROR(INDEX('Cadastro Mestre'!$Q$5:$Q$504,MATCH(C1779,'Cadastro Mestre'!$A$5:$A$504,0)),""))</f>
        <v/>
      </c>
      <c r="F1779" s="21"/>
      <c r="G1779" s="21"/>
      <c r="H1779" s="21"/>
      <c r="I1779" s="21"/>
    </row>
    <row r="1780" customFormat="false" ht="15" hidden="false" customHeight="false" outlineLevel="0" collapsed="false">
      <c r="A1780" s="25"/>
      <c r="B1780" s="21"/>
      <c r="C1780" s="21"/>
      <c r="D1780" s="26" t="str">
        <f aca="false">IF(C1780="","",IFERROR(INDEX('Cadastro Mestre'!$C$5:$C$504,MATCH(C1780,'Cadastro Mestre'!$A$5:$A$504,0)),"código não encontrado"))</f>
        <v/>
      </c>
      <c r="E1780" s="24" t="str">
        <f aca="false">IF(C1780="","",IFERROR(INDEX('Cadastro Mestre'!$Q$5:$Q$504,MATCH(C1780,'Cadastro Mestre'!$A$5:$A$504,0)),""))</f>
        <v/>
      </c>
      <c r="F1780" s="21"/>
      <c r="G1780" s="21"/>
      <c r="H1780" s="21"/>
      <c r="I1780" s="21"/>
    </row>
    <row r="1781" customFormat="false" ht="15" hidden="false" customHeight="false" outlineLevel="0" collapsed="false">
      <c r="A1781" s="25"/>
      <c r="B1781" s="21"/>
      <c r="C1781" s="21"/>
      <c r="D1781" s="26" t="str">
        <f aca="false">IF(C1781="","",IFERROR(INDEX('Cadastro Mestre'!$C$5:$C$504,MATCH(C1781,'Cadastro Mestre'!$A$5:$A$504,0)),"código não encontrado"))</f>
        <v/>
      </c>
      <c r="E1781" s="24" t="str">
        <f aca="false">IF(C1781="","",IFERROR(INDEX('Cadastro Mestre'!$Q$5:$Q$504,MATCH(C1781,'Cadastro Mestre'!$A$5:$A$504,0)),""))</f>
        <v/>
      </c>
      <c r="F1781" s="21"/>
      <c r="G1781" s="21"/>
      <c r="H1781" s="21"/>
      <c r="I1781" s="21"/>
    </row>
    <row r="1782" customFormat="false" ht="15" hidden="false" customHeight="false" outlineLevel="0" collapsed="false">
      <c r="A1782" s="25"/>
      <c r="B1782" s="21"/>
      <c r="C1782" s="21"/>
      <c r="D1782" s="26" t="str">
        <f aca="false">IF(C1782="","",IFERROR(INDEX('Cadastro Mestre'!$C$5:$C$504,MATCH(C1782,'Cadastro Mestre'!$A$5:$A$504,0)),"código não encontrado"))</f>
        <v/>
      </c>
      <c r="E1782" s="24" t="str">
        <f aca="false">IF(C1782="","",IFERROR(INDEX('Cadastro Mestre'!$Q$5:$Q$504,MATCH(C1782,'Cadastro Mestre'!$A$5:$A$504,0)),""))</f>
        <v/>
      </c>
      <c r="F1782" s="21"/>
      <c r="G1782" s="21"/>
      <c r="H1782" s="21"/>
      <c r="I1782" s="21"/>
    </row>
    <row r="1783" customFormat="false" ht="15" hidden="false" customHeight="false" outlineLevel="0" collapsed="false">
      <c r="A1783" s="25"/>
      <c r="B1783" s="21"/>
      <c r="C1783" s="21"/>
      <c r="D1783" s="26" t="str">
        <f aca="false">IF(C1783="","",IFERROR(INDEX('Cadastro Mestre'!$C$5:$C$504,MATCH(C1783,'Cadastro Mestre'!$A$5:$A$504,0)),"código não encontrado"))</f>
        <v/>
      </c>
      <c r="E1783" s="24" t="str">
        <f aca="false">IF(C1783="","",IFERROR(INDEX('Cadastro Mestre'!$Q$5:$Q$504,MATCH(C1783,'Cadastro Mestre'!$A$5:$A$504,0)),""))</f>
        <v/>
      </c>
      <c r="F1783" s="21"/>
      <c r="G1783" s="21"/>
      <c r="H1783" s="21"/>
      <c r="I1783" s="21"/>
    </row>
    <row r="1784" customFormat="false" ht="15" hidden="false" customHeight="false" outlineLevel="0" collapsed="false">
      <c r="A1784" s="25"/>
      <c r="B1784" s="21"/>
      <c r="C1784" s="21"/>
      <c r="D1784" s="26" t="str">
        <f aca="false">IF(C1784="","",IFERROR(INDEX('Cadastro Mestre'!$C$5:$C$504,MATCH(C1784,'Cadastro Mestre'!$A$5:$A$504,0)),"código não encontrado"))</f>
        <v/>
      </c>
      <c r="E1784" s="24" t="str">
        <f aca="false">IF(C1784="","",IFERROR(INDEX('Cadastro Mestre'!$Q$5:$Q$504,MATCH(C1784,'Cadastro Mestre'!$A$5:$A$504,0)),""))</f>
        <v/>
      </c>
      <c r="F1784" s="21"/>
      <c r="G1784" s="21"/>
      <c r="H1784" s="21"/>
      <c r="I1784" s="21"/>
    </row>
    <row r="1785" customFormat="false" ht="15" hidden="false" customHeight="false" outlineLevel="0" collapsed="false">
      <c r="A1785" s="25"/>
      <c r="B1785" s="21"/>
      <c r="C1785" s="21"/>
      <c r="D1785" s="26" t="str">
        <f aca="false">IF(C1785="","",IFERROR(INDEX('Cadastro Mestre'!$C$5:$C$504,MATCH(C1785,'Cadastro Mestre'!$A$5:$A$504,0)),"código não encontrado"))</f>
        <v/>
      </c>
      <c r="E1785" s="24" t="str">
        <f aca="false">IF(C1785="","",IFERROR(INDEX('Cadastro Mestre'!$Q$5:$Q$504,MATCH(C1785,'Cadastro Mestre'!$A$5:$A$504,0)),""))</f>
        <v/>
      </c>
      <c r="F1785" s="21"/>
      <c r="G1785" s="21"/>
      <c r="H1785" s="21"/>
      <c r="I1785" s="21"/>
    </row>
    <row r="1786" customFormat="false" ht="15" hidden="false" customHeight="false" outlineLevel="0" collapsed="false">
      <c r="A1786" s="25"/>
      <c r="B1786" s="21"/>
      <c r="C1786" s="21"/>
      <c r="D1786" s="26" t="str">
        <f aca="false">IF(C1786="","",IFERROR(INDEX('Cadastro Mestre'!$C$5:$C$504,MATCH(C1786,'Cadastro Mestre'!$A$5:$A$504,0)),"código não encontrado"))</f>
        <v/>
      </c>
      <c r="E1786" s="24" t="str">
        <f aca="false">IF(C1786="","",IFERROR(INDEX('Cadastro Mestre'!$Q$5:$Q$504,MATCH(C1786,'Cadastro Mestre'!$A$5:$A$504,0)),""))</f>
        <v/>
      </c>
      <c r="F1786" s="21"/>
      <c r="G1786" s="21"/>
      <c r="H1786" s="21"/>
      <c r="I1786" s="21"/>
    </row>
    <row r="1787" customFormat="false" ht="15" hidden="false" customHeight="false" outlineLevel="0" collapsed="false">
      <c r="A1787" s="25"/>
      <c r="B1787" s="21"/>
      <c r="C1787" s="21"/>
      <c r="D1787" s="26" t="str">
        <f aca="false">IF(C1787="","",IFERROR(INDEX('Cadastro Mestre'!$C$5:$C$504,MATCH(C1787,'Cadastro Mestre'!$A$5:$A$504,0)),"código não encontrado"))</f>
        <v/>
      </c>
      <c r="E1787" s="24" t="str">
        <f aca="false">IF(C1787="","",IFERROR(INDEX('Cadastro Mestre'!$Q$5:$Q$504,MATCH(C1787,'Cadastro Mestre'!$A$5:$A$504,0)),""))</f>
        <v/>
      </c>
      <c r="F1787" s="21"/>
      <c r="G1787" s="21"/>
      <c r="H1787" s="21"/>
      <c r="I1787" s="21"/>
    </row>
    <row r="1788" customFormat="false" ht="15" hidden="false" customHeight="false" outlineLevel="0" collapsed="false">
      <c r="A1788" s="25"/>
      <c r="B1788" s="21"/>
      <c r="C1788" s="21"/>
      <c r="D1788" s="26" t="str">
        <f aca="false">IF(C1788="","",IFERROR(INDEX('Cadastro Mestre'!$C$5:$C$504,MATCH(C1788,'Cadastro Mestre'!$A$5:$A$504,0)),"código não encontrado"))</f>
        <v/>
      </c>
      <c r="E1788" s="24" t="str">
        <f aca="false">IF(C1788="","",IFERROR(INDEX('Cadastro Mestre'!$Q$5:$Q$504,MATCH(C1788,'Cadastro Mestre'!$A$5:$A$504,0)),""))</f>
        <v/>
      </c>
      <c r="F1788" s="21"/>
      <c r="G1788" s="21"/>
      <c r="H1788" s="21"/>
      <c r="I1788" s="21"/>
    </row>
    <row r="1789" customFormat="false" ht="15" hidden="false" customHeight="false" outlineLevel="0" collapsed="false">
      <c r="A1789" s="25"/>
      <c r="B1789" s="21"/>
      <c r="C1789" s="21"/>
      <c r="D1789" s="26" t="str">
        <f aca="false">IF(C1789="","",IFERROR(INDEX('Cadastro Mestre'!$C$5:$C$504,MATCH(C1789,'Cadastro Mestre'!$A$5:$A$504,0)),"código não encontrado"))</f>
        <v/>
      </c>
      <c r="E1789" s="24" t="str">
        <f aca="false">IF(C1789="","",IFERROR(INDEX('Cadastro Mestre'!$Q$5:$Q$504,MATCH(C1789,'Cadastro Mestre'!$A$5:$A$504,0)),""))</f>
        <v/>
      </c>
      <c r="F1789" s="21"/>
      <c r="G1789" s="21"/>
      <c r="H1789" s="21"/>
      <c r="I1789" s="21"/>
    </row>
    <row r="1790" customFormat="false" ht="15" hidden="false" customHeight="false" outlineLevel="0" collapsed="false">
      <c r="A1790" s="25"/>
      <c r="B1790" s="21"/>
      <c r="C1790" s="21"/>
      <c r="D1790" s="26" t="str">
        <f aca="false">IF(C1790="","",IFERROR(INDEX('Cadastro Mestre'!$C$5:$C$504,MATCH(C1790,'Cadastro Mestre'!$A$5:$A$504,0)),"código não encontrado"))</f>
        <v/>
      </c>
      <c r="E1790" s="24" t="str">
        <f aca="false">IF(C1790="","",IFERROR(INDEX('Cadastro Mestre'!$Q$5:$Q$504,MATCH(C1790,'Cadastro Mestre'!$A$5:$A$504,0)),""))</f>
        <v/>
      </c>
      <c r="F1790" s="21"/>
      <c r="G1790" s="21"/>
      <c r="H1790" s="21"/>
      <c r="I1790" s="21"/>
    </row>
    <row r="1791" customFormat="false" ht="15" hidden="false" customHeight="false" outlineLevel="0" collapsed="false">
      <c r="A1791" s="25"/>
      <c r="B1791" s="21"/>
      <c r="C1791" s="21"/>
      <c r="D1791" s="26" t="str">
        <f aca="false">IF(C1791="","",IFERROR(INDEX('Cadastro Mestre'!$C$5:$C$504,MATCH(C1791,'Cadastro Mestre'!$A$5:$A$504,0)),"código não encontrado"))</f>
        <v/>
      </c>
      <c r="E1791" s="24" t="str">
        <f aca="false">IF(C1791="","",IFERROR(INDEX('Cadastro Mestre'!$Q$5:$Q$504,MATCH(C1791,'Cadastro Mestre'!$A$5:$A$504,0)),""))</f>
        <v/>
      </c>
      <c r="F1791" s="21"/>
      <c r="G1791" s="21"/>
      <c r="H1791" s="21"/>
      <c r="I1791" s="21"/>
    </row>
    <row r="1792" customFormat="false" ht="15" hidden="false" customHeight="false" outlineLevel="0" collapsed="false">
      <c r="A1792" s="25"/>
      <c r="B1792" s="21"/>
      <c r="C1792" s="21"/>
      <c r="D1792" s="26" t="str">
        <f aca="false">IF(C1792="","",IFERROR(INDEX('Cadastro Mestre'!$C$5:$C$504,MATCH(C1792,'Cadastro Mestre'!$A$5:$A$504,0)),"código não encontrado"))</f>
        <v/>
      </c>
      <c r="E1792" s="24" t="str">
        <f aca="false">IF(C1792="","",IFERROR(INDEX('Cadastro Mestre'!$Q$5:$Q$504,MATCH(C1792,'Cadastro Mestre'!$A$5:$A$504,0)),""))</f>
        <v/>
      </c>
      <c r="F1792" s="21"/>
      <c r="G1792" s="21"/>
      <c r="H1792" s="21"/>
      <c r="I1792" s="21"/>
    </row>
    <row r="1793" customFormat="false" ht="15" hidden="false" customHeight="false" outlineLevel="0" collapsed="false">
      <c r="A1793" s="25"/>
      <c r="B1793" s="21"/>
      <c r="C1793" s="21"/>
      <c r="D1793" s="26" t="str">
        <f aca="false">IF(C1793="","",IFERROR(INDEX('Cadastro Mestre'!$C$5:$C$504,MATCH(C1793,'Cadastro Mestre'!$A$5:$A$504,0)),"código não encontrado"))</f>
        <v/>
      </c>
      <c r="E1793" s="24" t="str">
        <f aca="false">IF(C1793="","",IFERROR(INDEX('Cadastro Mestre'!$Q$5:$Q$504,MATCH(C1793,'Cadastro Mestre'!$A$5:$A$504,0)),""))</f>
        <v/>
      </c>
      <c r="F1793" s="21"/>
      <c r="G1793" s="21"/>
      <c r="H1793" s="21"/>
      <c r="I1793" s="21"/>
    </row>
    <row r="1794" customFormat="false" ht="15" hidden="false" customHeight="false" outlineLevel="0" collapsed="false">
      <c r="A1794" s="25"/>
      <c r="B1794" s="21"/>
      <c r="C1794" s="21"/>
      <c r="D1794" s="26" t="str">
        <f aca="false">IF(C1794="","",IFERROR(INDEX('Cadastro Mestre'!$C$5:$C$504,MATCH(C1794,'Cadastro Mestre'!$A$5:$A$504,0)),"código não encontrado"))</f>
        <v/>
      </c>
      <c r="E1794" s="24" t="str">
        <f aca="false">IF(C1794="","",IFERROR(INDEX('Cadastro Mestre'!$Q$5:$Q$504,MATCH(C1794,'Cadastro Mestre'!$A$5:$A$504,0)),""))</f>
        <v/>
      </c>
      <c r="F1794" s="21"/>
      <c r="G1794" s="21"/>
      <c r="H1794" s="21"/>
      <c r="I1794" s="21"/>
    </row>
    <row r="1795" customFormat="false" ht="15" hidden="false" customHeight="false" outlineLevel="0" collapsed="false">
      <c r="A1795" s="25"/>
      <c r="B1795" s="21"/>
      <c r="C1795" s="21"/>
      <c r="D1795" s="26" t="str">
        <f aca="false">IF(C1795="","",IFERROR(INDEX('Cadastro Mestre'!$C$5:$C$504,MATCH(C1795,'Cadastro Mestre'!$A$5:$A$504,0)),"código não encontrado"))</f>
        <v/>
      </c>
      <c r="E1795" s="24" t="str">
        <f aca="false">IF(C1795="","",IFERROR(INDEX('Cadastro Mestre'!$Q$5:$Q$504,MATCH(C1795,'Cadastro Mestre'!$A$5:$A$504,0)),""))</f>
        <v/>
      </c>
      <c r="F1795" s="21"/>
      <c r="G1795" s="21"/>
      <c r="H1795" s="21"/>
      <c r="I1795" s="21"/>
    </row>
    <row r="1796" customFormat="false" ht="15" hidden="false" customHeight="false" outlineLevel="0" collapsed="false">
      <c r="A1796" s="25"/>
      <c r="B1796" s="21"/>
      <c r="C1796" s="21"/>
      <c r="D1796" s="26" t="str">
        <f aca="false">IF(C1796="","",IFERROR(INDEX('Cadastro Mestre'!$C$5:$C$504,MATCH(C1796,'Cadastro Mestre'!$A$5:$A$504,0)),"código não encontrado"))</f>
        <v/>
      </c>
      <c r="E1796" s="24" t="str">
        <f aca="false">IF(C1796="","",IFERROR(INDEX('Cadastro Mestre'!$Q$5:$Q$504,MATCH(C1796,'Cadastro Mestre'!$A$5:$A$504,0)),""))</f>
        <v/>
      </c>
      <c r="F1796" s="21"/>
      <c r="G1796" s="21"/>
      <c r="H1796" s="21"/>
      <c r="I1796" s="21"/>
    </row>
    <row r="1797" customFormat="false" ht="15" hidden="false" customHeight="false" outlineLevel="0" collapsed="false">
      <c r="A1797" s="25"/>
      <c r="B1797" s="21"/>
      <c r="C1797" s="21"/>
      <c r="D1797" s="26" t="str">
        <f aca="false">IF(C1797="","",IFERROR(INDEX('Cadastro Mestre'!$C$5:$C$504,MATCH(C1797,'Cadastro Mestre'!$A$5:$A$504,0)),"código não encontrado"))</f>
        <v/>
      </c>
      <c r="E1797" s="24" t="str">
        <f aca="false">IF(C1797="","",IFERROR(INDEX('Cadastro Mestre'!$Q$5:$Q$504,MATCH(C1797,'Cadastro Mestre'!$A$5:$A$504,0)),""))</f>
        <v/>
      </c>
      <c r="F1797" s="21"/>
      <c r="G1797" s="21"/>
      <c r="H1797" s="21"/>
      <c r="I1797" s="21"/>
    </row>
    <row r="1798" customFormat="false" ht="15" hidden="false" customHeight="false" outlineLevel="0" collapsed="false">
      <c r="A1798" s="25"/>
      <c r="B1798" s="21"/>
      <c r="C1798" s="21"/>
      <c r="D1798" s="26" t="str">
        <f aca="false">IF(C1798="","",IFERROR(INDEX('Cadastro Mestre'!$C$5:$C$504,MATCH(C1798,'Cadastro Mestre'!$A$5:$A$504,0)),"código não encontrado"))</f>
        <v/>
      </c>
      <c r="E1798" s="24" t="str">
        <f aca="false">IF(C1798="","",IFERROR(INDEX('Cadastro Mestre'!$Q$5:$Q$504,MATCH(C1798,'Cadastro Mestre'!$A$5:$A$504,0)),""))</f>
        <v/>
      </c>
      <c r="F1798" s="21"/>
      <c r="G1798" s="21"/>
      <c r="H1798" s="21"/>
      <c r="I1798" s="21"/>
    </row>
    <row r="1799" customFormat="false" ht="15" hidden="false" customHeight="false" outlineLevel="0" collapsed="false">
      <c r="A1799" s="25"/>
      <c r="B1799" s="21"/>
      <c r="C1799" s="21"/>
      <c r="D1799" s="26" t="str">
        <f aca="false">IF(C1799="","",IFERROR(INDEX('Cadastro Mestre'!$C$5:$C$504,MATCH(C1799,'Cadastro Mestre'!$A$5:$A$504,0)),"código não encontrado"))</f>
        <v/>
      </c>
      <c r="E1799" s="24" t="str">
        <f aca="false">IF(C1799="","",IFERROR(INDEX('Cadastro Mestre'!$Q$5:$Q$504,MATCH(C1799,'Cadastro Mestre'!$A$5:$A$504,0)),""))</f>
        <v/>
      </c>
      <c r="F1799" s="21"/>
      <c r="G1799" s="21"/>
      <c r="H1799" s="21"/>
      <c r="I1799" s="21"/>
    </row>
    <row r="1800" customFormat="false" ht="15" hidden="false" customHeight="false" outlineLevel="0" collapsed="false">
      <c r="A1800" s="25"/>
      <c r="B1800" s="21"/>
      <c r="C1800" s="21"/>
      <c r="D1800" s="26" t="str">
        <f aca="false">IF(C1800="","",IFERROR(INDEX('Cadastro Mestre'!$C$5:$C$504,MATCH(C1800,'Cadastro Mestre'!$A$5:$A$504,0)),"código não encontrado"))</f>
        <v/>
      </c>
      <c r="E1800" s="24" t="str">
        <f aca="false">IF(C1800="","",IFERROR(INDEX('Cadastro Mestre'!$Q$5:$Q$504,MATCH(C1800,'Cadastro Mestre'!$A$5:$A$504,0)),""))</f>
        <v/>
      </c>
      <c r="F1800" s="21"/>
      <c r="G1800" s="21"/>
      <c r="H1800" s="21"/>
      <c r="I1800" s="21"/>
    </row>
    <row r="1801" customFormat="false" ht="15" hidden="false" customHeight="false" outlineLevel="0" collapsed="false">
      <c r="A1801" s="25"/>
      <c r="B1801" s="21"/>
      <c r="C1801" s="21"/>
      <c r="D1801" s="26" t="str">
        <f aca="false">IF(C1801="","",IFERROR(INDEX('Cadastro Mestre'!$C$5:$C$504,MATCH(C1801,'Cadastro Mestre'!$A$5:$A$504,0)),"código não encontrado"))</f>
        <v/>
      </c>
      <c r="E1801" s="24" t="str">
        <f aca="false">IF(C1801="","",IFERROR(INDEX('Cadastro Mestre'!$Q$5:$Q$504,MATCH(C1801,'Cadastro Mestre'!$A$5:$A$504,0)),""))</f>
        <v/>
      </c>
      <c r="F1801" s="21"/>
      <c r="G1801" s="21"/>
      <c r="H1801" s="21"/>
      <c r="I1801" s="21"/>
    </row>
    <row r="1802" customFormat="false" ht="15" hidden="false" customHeight="false" outlineLevel="0" collapsed="false">
      <c r="A1802" s="25"/>
      <c r="B1802" s="21"/>
      <c r="C1802" s="21"/>
      <c r="D1802" s="26" t="str">
        <f aca="false">IF(C1802="","",IFERROR(INDEX('Cadastro Mestre'!$C$5:$C$504,MATCH(C1802,'Cadastro Mestre'!$A$5:$A$504,0)),"código não encontrado"))</f>
        <v/>
      </c>
      <c r="E1802" s="24" t="str">
        <f aca="false">IF(C1802="","",IFERROR(INDEX('Cadastro Mestre'!$Q$5:$Q$504,MATCH(C1802,'Cadastro Mestre'!$A$5:$A$504,0)),""))</f>
        <v/>
      </c>
      <c r="F1802" s="21"/>
      <c r="G1802" s="21"/>
      <c r="H1802" s="21"/>
      <c r="I1802" s="21"/>
    </row>
    <row r="1803" customFormat="false" ht="15" hidden="false" customHeight="false" outlineLevel="0" collapsed="false">
      <c r="A1803" s="25"/>
      <c r="B1803" s="21"/>
      <c r="C1803" s="21"/>
      <c r="D1803" s="26" t="str">
        <f aca="false">IF(C1803="","",IFERROR(INDEX('Cadastro Mestre'!$C$5:$C$504,MATCH(C1803,'Cadastro Mestre'!$A$5:$A$504,0)),"código não encontrado"))</f>
        <v/>
      </c>
      <c r="E1803" s="24" t="str">
        <f aca="false">IF(C1803="","",IFERROR(INDEX('Cadastro Mestre'!$Q$5:$Q$504,MATCH(C1803,'Cadastro Mestre'!$A$5:$A$504,0)),""))</f>
        <v/>
      </c>
      <c r="F1803" s="21"/>
      <c r="G1803" s="21"/>
      <c r="H1803" s="21"/>
      <c r="I1803" s="21"/>
    </row>
    <row r="1804" customFormat="false" ht="15" hidden="false" customHeight="false" outlineLevel="0" collapsed="false">
      <c r="A1804" s="25"/>
      <c r="B1804" s="21"/>
      <c r="C1804" s="21"/>
      <c r="D1804" s="26" t="str">
        <f aca="false">IF(C1804="","",IFERROR(INDEX('Cadastro Mestre'!$C$5:$C$504,MATCH(C1804,'Cadastro Mestre'!$A$5:$A$504,0)),"código não encontrado"))</f>
        <v/>
      </c>
      <c r="E1804" s="24" t="str">
        <f aca="false">IF(C1804="","",IFERROR(INDEX('Cadastro Mestre'!$Q$5:$Q$504,MATCH(C1804,'Cadastro Mestre'!$A$5:$A$504,0)),""))</f>
        <v/>
      </c>
      <c r="F1804" s="21"/>
      <c r="G1804" s="21"/>
      <c r="H1804" s="21"/>
      <c r="I1804" s="21"/>
    </row>
    <row r="1805" customFormat="false" ht="15" hidden="false" customHeight="false" outlineLevel="0" collapsed="false">
      <c r="A1805" s="25"/>
      <c r="B1805" s="21"/>
      <c r="C1805" s="21"/>
      <c r="D1805" s="26" t="str">
        <f aca="false">IF(C1805="","",IFERROR(INDEX('Cadastro Mestre'!$C$5:$C$504,MATCH(C1805,'Cadastro Mestre'!$A$5:$A$504,0)),"código não encontrado"))</f>
        <v/>
      </c>
      <c r="E1805" s="24" t="str">
        <f aca="false">IF(C1805="","",IFERROR(INDEX('Cadastro Mestre'!$Q$5:$Q$504,MATCH(C1805,'Cadastro Mestre'!$A$5:$A$504,0)),""))</f>
        <v/>
      </c>
      <c r="F1805" s="21"/>
      <c r="G1805" s="21"/>
      <c r="H1805" s="21"/>
      <c r="I1805" s="21"/>
    </row>
    <row r="1806" customFormat="false" ht="15" hidden="false" customHeight="false" outlineLevel="0" collapsed="false">
      <c r="A1806" s="25"/>
      <c r="B1806" s="21"/>
      <c r="C1806" s="21"/>
      <c r="D1806" s="26" t="str">
        <f aca="false">IF(C1806="","",IFERROR(INDEX('Cadastro Mestre'!$C$5:$C$504,MATCH(C1806,'Cadastro Mestre'!$A$5:$A$504,0)),"código não encontrado"))</f>
        <v/>
      </c>
      <c r="E1806" s="24" t="str">
        <f aca="false">IF(C1806="","",IFERROR(INDEX('Cadastro Mestre'!$Q$5:$Q$504,MATCH(C1806,'Cadastro Mestre'!$A$5:$A$504,0)),""))</f>
        <v/>
      </c>
      <c r="F1806" s="21"/>
      <c r="G1806" s="21"/>
      <c r="H1806" s="21"/>
      <c r="I1806" s="21"/>
    </row>
    <row r="1807" customFormat="false" ht="15" hidden="false" customHeight="false" outlineLevel="0" collapsed="false">
      <c r="A1807" s="25"/>
      <c r="B1807" s="21"/>
      <c r="C1807" s="21"/>
      <c r="D1807" s="26" t="str">
        <f aca="false">IF(C1807="","",IFERROR(INDEX('Cadastro Mestre'!$C$5:$C$504,MATCH(C1807,'Cadastro Mestre'!$A$5:$A$504,0)),"código não encontrado"))</f>
        <v/>
      </c>
      <c r="E1807" s="24" t="str">
        <f aca="false">IF(C1807="","",IFERROR(INDEX('Cadastro Mestre'!$Q$5:$Q$504,MATCH(C1807,'Cadastro Mestre'!$A$5:$A$504,0)),""))</f>
        <v/>
      </c>
      <c r="F1807" s="21"/>
      <c r="G1807" s="21"/>
      <c r="H1807" s="21"/>
      <c r="I1807" s="21"/>
    </row>
    <row r="1808" customFormat="false" ht="15" hidden="false" customHeight="false" outlineLevel="0" collapsed="false">
      <c r="A1808" s="25"/>
      <c r="B1808" s="21"/>
      <c r="C1808" s="21"/>
      <c r="D1808" s="26" t="str">
        <f aca="false">IF(C1808="","",IFERROR(INDEX('Cadastro Mestre'!$C$5:$C$504,MATCH(C1808,'Cadastro Mestre'!$A$5:$A$504,0)),"código não encontrado"))</f>
        <v/>
      </c>
      <c r="E1808" s="24" t="str">
        <f aca="false">IF(C1808="","",IFERROR(INDEX('Cadastro Mestre'!$Q$5:$Q$504,MATCH(C1808,'Cadastro Mestre'!$A$5:$A$504,0)),""))</f>
        <v/>
      </c>
      <c r="F1808" s="21"/>
      <c r="G1808" s="21"/>
      <c r="H1808" s="21"/>
      <c r="I1808" s="21"/>
    </row>
    <row r="1809" customFormat="false" ht="15" hidden="false" customHeight="false" outlineLevel="0" collapsed="false">
      <c r="A1809" s="25"/>
      <c r="B1809" s="21"/>
      <c r="C1809" s="21"/>
      <c r="D1809" s="26" t="str">
        <f aca="false">IF(C1809="","",IFERROR(INDEX('Cadastro Mestre'!$C$5:$C$504,MATCH(C1809,'Cadastro Mestre'!$A$5:$A$504,0)),"código não encontrado"))</f>
        <v/>
      </c>
      <c r="E1809" s="24" t="str">
        <f aca="false">IF(C1809="","",IFERROR(INDEX('Cadastro Mestre'!$Q$5:$Q$504,MATCH(C1809,'Cadastro Mestre'!$A$5:$A$504,0)),""))</f>
        <v/>
      </c>
      <c r="F1809" s="21"/>
      <c r="G1809" s="21"/>
      <c r="H1809" s="21"/>
      <c r="I1809" s="21"/>
    </row>
    <row r="1810" customFormat="false" ht="15" hidden="false" customHeight="false" outlineLevel="0" collapsed="false">
      <c r="A1810" s="25"/>
      <c r="B1810" s="21"/>
      <c r="C1810" s="21"/>
      <c r="D1810" s="26" t="str">
        <f aca="false">IF(C1810="","",IFERROR(INDEX('Cadastro Mestre'!$C$5:$C$504,MATCH(C1810,'Cadastro Mestre'!$A$5:$A$504,0)),"código não encontrado"))</f>
        <v/>
      </c>
      <c r="E1810" s="24" t="str">
        <f aca="false">IF(C1810="","",IFERROR(INDEX('Cadastro Mestre'!$Q$5:$Q$504,MATCH(C1810,'Cadastro Mestre'!$A$5:$A$504,0)),""))</f>
        <v/>
      </c>
      <c r="F1810" s="21"/>
      <c r="G1810" s="21"/>
      <c r="H1810" s="21"/>
      <c r="I1810" s="21"/>
    </row>
    <row r="1811" customFormat="false" ht="15" hidden="false" customHeight="false" outlineLevel="0" collapsed="false">
      <c r="A1811" s="25"/>
      <c r="B1811" s="21"/>
      <c r="C1811" s="21"/>
      <c r="D1811" s="26" t="str">
        <f aca="false">IF(C1811="","",IFERROR(INDEX('Cadastro Mestre'!$C$5:$C$504,MATCH(C1811,'Cadastro Mestre'!$A$5:$A$504,0)),"código não encontrado"))</f>
        <v/>
      </c>
      <c r="E1811" s="24" t="str">
        <f aca="false">IF(C1811="","",IFERROR(INDEX('Cadastro Mestre'!$Q$5:$Q$504,MATCH(C1811,'Cadastro Mestre'!$A$5:$A$504,0)),""))</f>
        <v/>
      </c>
      <c r="F1811" s="21"/>
      <c r="G1811" s="21"/>
      <c r="H1811" s="21"/>
      <c r="I1811" s="21"/>
    </row>
    <row r="1812" customFormat="false" ht="15" hidden="false" customHeight="false" outlineLevel="0" collapsed="false">
      <c r="A1812" s="25"/>
      <c r="B1812" s="21"/>
      <c r="C1812" s="21"/>
      <c r="D1812" s="26" t="str">
        <f aca="false">IF(C1812="","",IFERROR(INDEX('Cadastro Mestre'!$C$5:$C$504,MATCH(C1812,'Cadastro Mestre'!$A$5:$A$504,0)),"código não encontrado"))</f>
        <v/>
      </c>
      <c r="E1812" s="24" t="str">
        <f aca="false">IF(C1812="","",IFERROR(INDEX('Cadastro Mestre'!$Q$5:$Q$504,MATCH(C1812,'Cadastro Mestre'!$A$5:$A$504,0)),""))</f>
        <v/>
      </c>
      <c r="F1812" s="21"/>
      <c r="G1812" s="21"/>
      <c r="H1812" s="21"/>
      <c r="I1812" s="21"/>
    </row>
    <row r="1813" customFormat="false" ht="15" hidden="false" customHeight="false" outlineLevel="0" collapsed="false">
      <c r="A1813" s="25"/>
      <c r="B1813" s="21"/>
      <c r="C1813" s="21"/>
      <c r="D1813" s="26" t="str">
        <f aca="false">IF(C1813="","",IFERROR(INDEX('Cadastro Mestre'!$C$5:$C$504,MATCH(C1813,'Cadastro Mestre'!$A$5:$A$504,0)),"código não encontrado"))</f>
        <v/>
      </c>
      <c r="E1813" s="24" t="str">
        <f aca="false">IF(C1813="","",IFERROR(INDEX('Cadastro Mestre'!$Q$5:$Q$504,MATCH(C1813,'Cadastro Mestre'!$A$5:$A$504,0)),""))</f>
        <v/>
      </c>
      <c r="F1813" s="21"/>
      <c r="G1813" s="21"/>
      <c r="H1813" s="21"/>
      <c r="I1813" s="21"/>
    </row>
    <row r="1814" customFormat="false" ht="15" hidden="false" customHeight="false" outlineLevel="0" collapsed="false">
      <c r="A1814" s="25"/>
      <c r="B1814" s="21"/>
      <c r="C1814" s="21"/>
      <c r="D1814" s="26" t="str">
        <f aca="false">IF(C1814="","",IFERROR(INDEX('Cadastro Mestre'!$C$5:$C$504,MATCH(C1814,'Cadastro Mestre'!$A$5:$A$504,0)),"código não encontrado"))</f>
        <v/>
      </c>
      <c r="E1814" s="24" t="str">
        <f aca="false">IF(C1814="","",IFERROR(INDEX('Cadastro Mestre'!$Q$5:$Q$504,MATCH(C1814,'Cadastro Mestre'!$A$5:$A$504,0)),""))</f>
        <v/>
      </c>
      <c r="F1814" s="21"/>
      <c r="G1814" s="21"/>
      <c r="H1814" s="21"/>
      <c r="I1814" s="21"/>
    </row>
    <row r="1815" customFormat="false" ht="15" hidden="false" customHeight="false" outlineLevel="0" collapsed="false">
      <c r="A1815" s="25"/>
      <c r="B1815" s="21"/>
      <c r="C1815" s="21"/>
      <c r="D1815" s="26" t="str">
        <f aca="false">IF(C1815="","",IFERROR(INDEX('Cadastro Mestre'!$C$5:$C$504,MATCH(C1815,'Cadastro Mestre'!$A$5:$A$504,0)),"código não encontrado"))</f>
        <v/>
      </c>
      <c r="E1815" s="24" t="str">
        <f aca="false">IF(C1815="","",IFERROR(INDEX('Cadastro Mestre'!$Q$5:$Q$504,MATCH(C1815,'Cadastro Mestre'!$A$5:$A$504,0)),""))</f>
        <v/>
      </c>
      <c r="F1815" s="21"/>
      <c r="G1815" s="21"/>
      <c r="H1815" s="21"/>
      <c r="I1815" s="21"/>
    </row>
    <row r="1816" customFormat="false" ht="15" hidden="false" customHeight="false" outlineLevel="0" collapsed="false">
      <c r="A1816" s="25"/>
      <c r="B1816" s="21"/>
      <c r="C1816" s="21"/>
      <c r="D1816" s="26" t="str">
        <f aca="false">IF(C1816="","",IFERROR(INDEX('Cadastro Mestre'!$C$5:$C$504,MATCH(C1816,'Cadastro Mestre'!$A$5:$A$504,0)),"código não encontrado"))</f>
        <v/>
      </c>
      <c r="E1816" s="24" t="str">
        <f aca="false">IF(C1816="","",IFERROR(INDEX('Cadastro Mestre'!$Q$5:$Q$504,MATCH(C1816,'Cadastro Mestre'!$A$5:$A$504,0)),""))</f>
        <v/>
      </c>
      <c r="F1816" s="21"/>
      <c r="G1816" s="21"/>
      <c r="H1816" s="21"/>
      <c r="I1816" s="21"/>
    </row>
    <row r="1817" customFormat="false" ht="15" hidden="false" customHeight="false" outlineLevel="0" collapsed="false">
      <c r="A1817" s="25"/>
      <c r="B1817" s="21"/>
      <c r="C1817" s="21"/>
      <c r="D1817" s="26" t="str">
        <f aca="false">IF(C1817="","",IFERROR(INDEX('Cadastro Mestre'!$C$5:$C$504,MATCH(C1817,'Cadastro Mestre'!$A$5:$A$504,0)),"código não encontrado"))</f>
        <v/>
      </c>
      <c r="E1817" s="24" t="str">
        <f aca="false">IF(C1817="","",IFERROR(INDEX('Cadastro Mestre'!$Q$5:$Q$504,MATCH(C1817,'Cadastro Mestre'!$A$5:$A$504,0)),""))</f>
        <v/>
      </c>
      <c r="F1817" s="21"/>
      <c r="G1817" s="21"/>
      <c r="H1817" s="21"/>
      <c r="I1817" s="21"/>
    </row>
    <row r="1818" customFormat="false" ht="15" hidden="false" customHeight="false" outlineLevel="0" collapsed="false">
      <c r="A1818" s="25"/>
      <c r="B1818" s="21"/>
      <c r="C1818" s="21"/>
      <c r="D1818" s="26" t="str">
        <f aca="false">IF(C1818="","",IFERROR(INDEX('Cadastro Mestre'!$C$5:$C$504,MATCH(C1818,'Cadastro Mestre'!$A$5:$A$504,0)),"código não encontrado"))</f>
        <v/>
      </c>
      <c r="E1818" s="24" t="str">
        <f aca="false">IF(C1818="","",IFERROR(INDEX('Cadastro Mestre'!$Q$5:$Q$504,MATCH(C1818,'Cadastro Mestre'!$A$5:$A$504,0)),""))</f>
        <v/>
      </c>
      <c r="F1818" s="21"/>
      <c r="G1818" s="21"/>
      <c r="H1818" s="21"/>
      <c r="I1818" s="21"/>
    </row>
    <row r="1819" customFormat="false" ht="15" hidden="false" customHeight="false" outlineLevel="0" collapsed="false">
      <c r="A1819" s="25"/>
      <c r="B1819" s="21"/>
      <c r="C1819" s="21"/>
      <c r="D1819" s="26" t="str">
        <f aca="false">IF(C1819="","",IFERROR(INDEX('Cadastro Mestre'!$C$5:$C$504,MATCH(C1819,'Cadastro Mestre'!$A$5:$A$504,0)),"código não encontrado"))</f>
        <v/>
      </c>
      <c r="E1819" s="24" t="str">
        <f aca="false">IF(C1819="","",IFERROR(INDEX('Cadastro Mestre'!$Q$5:$Q$504,MATCH(C1819,'Cadastro Mestre'!$A$5:$A$504,0)),""))</f>
        <v/>
      </c>
      <c r="F1819" s="21"/>
      <c r="G1819" s="21"/>
      <c r="H1819" s="21"/>
      <c r="I1819" s="21"/>
    </row>
    <row r="1820" customFormat="false" ht="15" hidden="false" customHeight="false" outlineLevel="0" collapsed="false">
      <c r="A1820" s="25"/>
      <c r="B1820" s="21"/>
      <c r="C1820" s="21"/>
      <c r="D1820" s="26" t="str">
        <f aca="false">IF(C1820="","",IFERROR(INDEX('Cadastro Mestre'!$C$5:$C$504,MATCH(C1820,'Cadastro Mestre'!$A$5:$A$504,0)),"código não encontrado"))</f>
        <v/>
      </c>
      <c r="E1820" s="24" t="str">
        <f aca="false">IF(C1820="","",IFERROR(INDEX('Cadastro Mestre'!$Q$5:$Q$504,MATCH(C1820,'Cadastro Mestre'!$A$5:$A$504,0)),""))</f>
        <v/>
      </c>
      <c r="F1820" s="21"/>
      <c r="G1820" s="21"/>
      <c r="H1820" s="21"/>
      <c r="I1820" s="21"/>
    </row>
    <row r="1821" customFormat="false" ht="15" hidden="false" customHeight="false" outlineLevel="0" collapsed="false">
      <c r="A1821" s="25"/>
      <c r="B1821" s="21"/>
      <c r="C1821" s="21"/>
      <c r="D1821" s="26" t="str">
        <f aca="false">IF(C1821="","",IFERROR(INDEX('Cadastro Mestre'!$C$5:$C$504,MATCH(C1821,'Cadastro Mestre'!$A$5:$A$504,0)),"código não encontrado"))</f>
        <v/>
      </c>
      <c r="E1821" s="24" t="str">
        <f aca="false">IF(C1821="","",IFERROR(INDEX('Cadastro Mestre'!$Q$5:$Q$504,MATCH(C1821,'Cadastro Mestre'!$A$5:$A$504,0)),""))</f>
        <v/>
      </c>
      <c r="F1821" s="21"/>
      <c r="G1821" s="21"/>
      <c r="H1821" s="21"/>
      <c r="I1821" s="21"/>
    </row>
    <row r="1822" customFormat="false" ht="15" hidden="false" customHeight="false" outlineLevel="0" collapsed="false">
      <c r="A1822" s="25"/>
      <c r="B1822" s="21"/>
      <c r="C1822" s="21"/>
      <c r="D1822" s="26" t="str">
        <f aca="false">IF(C1822="","",IFERROR(INDEX('Cadastro Mestre'!$C$5:$C$504,MATCH(C1822,'Cadastro Mestre'!$A$5:$A$504,0)),"código não encontrado"))</f>
        <v/>
      </c>
      <c r="E1822" s="24" t="str">
        <f aca="false">IF(C1822="","",IFERROR(INDEX('Cadastro Mestre'!$Q$5:$Q$504,MATCH(C1822,'Cadastro Mestre'!$A$5:$A$504,0)),""))</f>
        <v/>
      </c>
      <c r="F1822" s="21"/>
      <c r="G1822" s="21"/>
      <c r="H1822" s="21"/>
      <c r="I1822" s="21"/>
    </row>
    <row r="1823" customFormat="false" ht="15" hidden="false" customHeight="false" outlineLevel="0" collapsed="false">
      <c r="A1823" s="25"/>
      <c r="B1823" s="21"/>
      <c r="C1823" s="21"/>
      <c r="D1823" s="26" t="str">
        <f aca="false">IF(C1823="","",IFERROR(INDEX('Cadastro Mestre'!$C$5:$C$504,MATCH(C1823,'Cadastro Mestre'!$A$5:$A$504,0)),"código não encontrado"))</f>
        <v/>
      </c>
      <c r="E1823" s="24" t="str">
        <f aca="false">IF(C1823="","",IFERROR(INDEX('Cadastro Mestre'!$Q$5:$Q$504,MATCH(C1823,'Cadastro Mestre'!$A$5:$A$504,0)),""))</f>
        <v/>
      </c>
      <c r="F1823" s="21"/>
      <c r="G1823" s="21"/>
      <c r="H1823" s="21"/>
      <c r="I1823" s="21"/>
    </row>
    <row r="1824" customFormat="false" ht="15" hidden="false" customHeight="false" outlineLevel="0" collapsed="false">
      <c r="A1824" s="25"/>
      <c r="B1824" s="21"/>
      <c r="C1824" s="21"/>
      <c r="D1824" s="26" t="str">
        <f aca="false">IF(C1824="","",IFERROR(INDEX('Cadastro Mestre'!$C$5:$C$504,MATCH(C1824,'Cadastro Mestre'!$A$5:$A$504,0)),"código não encontrado"))</f>
        <v/>
      </c>
      <c r="E1824" s="24" t="str">
        <f aca="false">IF(C1824="","",IFERROR(INDEX('Cadastro Mestre'!$Q$5:$Q$504,MATCH(C1824,'Cadastro Mestre'!$A$5:$A$504,0)),""))</f>
        <v/>
      </c>
      <c r="F1824" s="21"/>
      <c r="G1824" s="21"/>
      <c r="H1824" s="21"/>
      <c r="I1824" s="21"/>
    </row>
    <row r="1825" customFormat="false" ht="15" hidden="false" customHeight="false" outlineLevel="0" collapsed="false">
      <c r="A1825" s="25"/>
      <c r="B1825" s="21"/>
      <c r="C1825" s="21"/>
      <c r="D1825" s="26" t="str">
        <f aca="false">IF(C1825="","",IFERROR(INDEX('Cadastro Mestre'!$C$5:$C$504,MATCH(C1825,'Cadastro Mestre'!$A$5:$A$504,0)),"código não encontrado"))</f>
        <v/>
      </c>
      <c r="E1825" s="24" t="str">
        <f aca="false">IF(C1825="","",IFERROR(INDEX('Cadastro Mestre'!$Q$5:$Q$504,MATCH(C1825,'Cadastro Mestre'!$A$5:$A$504,0)),""))</f>
        <v/>
      </c>
      <c r="F1825" s="21"/>
      <c r="G1825" s="21"/>
      <c r="H1825" s="21"/>
      <c r="I1825" s="21"/>
    </row>
    <row r="1826" customFormat="false" ht="15" hidden="false" customHeight="false" outlineLevel="0" collapsed="false">
      <c r="A1826" s="25"/>
      <c r="B1826" s="21"/>
      <c r="C1826" s="21"/>
      <c r="D1826" s="26" t="str">
        <f aca="false">IF(C1826="","",IFERROR(INDEX('Cadastro Mestre'!$C$5:$C$504,MATCH(C1826,'Cadastro Mestre'!$A$5:$A$504,0)),"código não encontrado"))</f>
        <v/>
      </c>
      <c r="E1826" s="24" t="str">
        <f aca="false">IF(C1826="","",IFERROR(INDEX('Cadastro Mestre'!$Q$5:$Q$504,MATCH(C1826,'Cadastro Mestre'!$A$5:$A$504,0)),""))</f>
        <v/>
      </c>
      <c r="F1826" s="21"/>
      <c r="G1826" s="21"/>
      <c r="H1826" s="21"/>
      <c r="I1826" s="21"/>
    </row>
    <row r="1827" customFormat="false" ht="15" hidden="false" customHeight="false" outlineLevel="0" collapsed="false">
      <c r="A1827" s="25"/>
      <c r="B1827" s="21"/>
      <c r="C1827" s="21"/>
      <c r="D1827" s="26" t="str">
        <f aca="false">IF(C1827="","",IFERROR(INDEX('Cadastro Mestre'!$C$5:$C$504,MATCH(C1827,'Cadastro Mestre'!$A$5:$A$504,0)),"código não encontrado"))</f>
        <v/>
      </c>
      <c r="E1827" s="24" t="str">
        <f aca="false">IF(C1827="","",IFERROR(INDEX('Cadastro Mestre'!$Q$5:$Q$504,MATCH(C1827,'Cadastro Mestre'!$A$5:$A$504,0)),""))</f>
        <v/>
      </c>
      <c r="F1827" s="21"/>
      <c r="G1827" s="21"/>
      <c r="H1827" s="21"/>
      <c r="I1827" s="21"/>
    </row>
    <row r="1828" customFormat="false" ht="15" hidden="false" customHeight="false" outlineLevel="0" collapsed="false">
      <c r="A1828" s="25"/>
      <c r="B1828" s="21"/>
      <c r="C1828" s="21"/>
      <c r="D1828" s="26" t="str">
        <f aca="false">IF(C1828="","",IFERROR(INDEX('Cadastro Mestre'!$C$5:$C$504,MATCH(C1828,'Cadastro Mestre'!$A$5:$A$504,0)),"código não encontrado"))</f>
        <v/>
      </c>
      <c r="E1828" s="24" t="str">
        <f aca="false">IF(C1828="","",IFERROR(INDEX('Cadastro Mestre'!$Q$5:$Q$504,MATCH(C1828,'Cadastro Mestre'!$A$5:$A$504,0)),""))</f>
        <v/>
      </c>
      <c r="F1828" s="21"/>
      <c r="G1828" s="21"/>
      <c r="H1828" s="21"/>
      <c r="I1828" s="21"/>
    </row>
    <row r="1829" customFormat="false" ht="15" hidden="false" customHeight="false" outlineLevel="0" collapsed="false">
      <c r="A1829" s="25"/>
      <c r="B1829" s="21"/>
      <c r="C1829" s="21"/>
      <c r="D1829" s="26" t="str">
        <f aca="false">IF(C1829="","",IFERROR(INDEX('Cadastro Mestre'!$C$5:$C$504,MATCH(C1829,'Cadastro Mestre'!$A$5:$A$504,0)),"código não encontrado"))</f>
        <v/>
      </c>
      <c r="E1829" s="24" t="str">
        <f aca="false">IF(C1829="","",IFERROR(INDEX('Cadastro Mestre'!$Q$5:$Q$504,MATCH(C1829,'Cadastro Mestre'!$A$5:$A$504,0)),""))</f>
        <v/>
      </c>
      <c r="F1829" s="21"/>
      <c r="G1829" s="21"/>
      <c r="H1829" s="21"/>
      <c r="I1829" s="21"/>
    </row>
    <row r="1830" customFormat="false" ht="15" hidden="false" customHeight="false" outlineLevel="0" collapsed="false">
      <c r="A1830" s="25"/>
      <c r="B1830" s="21"/>
      <c r="C1830" s="21"/>
      <c r="D1830" s="26" t="str">
        <f aca="false">IF(C1830="","",IFERROR(INDEX('Cadastro Mestre'!$C$5:$C$504,MATCH(C1830,'Cadastro Mestre'!$A$5:$A$504,0)),"código não encontrado"))</f>
        <v/>
      </c>
      <c r="E1830" s="24" t="str">
        <f aca="false">IF(C1830="","",IFERROR(INDEX('Cadastro Mestre'!$Q$5:$Q$504,MATCH(C1830,'Cadastro Mestre'!$A$5:$A$504,0)),""))</f>
        <v/>
      </c>
      <c r="F1830" s="21"/>
      <c r="G1830" s="21"/>
      <c r="H1830" s="21"/>
      <c r="I1830" s="21"/>
    </row>
    <row r="1831" customFormat="false" ht="15" hidden="false" customHeight="false" outlineLevel="0" collapsed="false">
      <c r="A1831" s="25"/>
      <c r="B1831" s="21"/>
      <c r="C1831" s="21"/>
      <c r="D1831" s="26" t="str">
        <f aca="false">IF(C1831="","",IFERROR(INDEX('Cadastro Mestre'!$C$5:$C$504,MATCH(C1831,'Cadastro Mestre'!$A$5:$A$504,0)),"código não encontrado"))</f>
        <v/>
      </c>
      <c r="E1831" s="24" t="str">
        <f aca="false">IF(C1831="","",IFERROR(INDEX('Cadastro Mestre'!$Q$5:$Q$504,MATCH(C1831,'Cadastro Mestre'!$A$5:$A$504,0)),""))</f>
        <v/>
      </c>
      <c r="F1831" s="21"/>
      <c r="G1831" s="21"/>
      <c r="H1831" s="21"/>
      <c r="I1831" s="21"/>
    </row>
    <row r="1832" customFormat="false" ht="15" hidden="false" customHeight="false" outlineLevel="0" collapsed="false">
      <c r="A1832" s="25"/>
      <c r="B1832" s="21"/>
      <c r="C1832" s="21"/>
      <c r="D1832" s="26" t="str">
        <f aca="false">IF(C1832="","",IFERROR(INDEX('Cadastro Mestre'!$C$5:$C$504,MATCH(C1832,'Cadastro Mestre'!$A$5:$A$504,0)),"código não encontrado"))</f>
        <v/>
      </c>
      <c r="E1832" s="24" t="str">
        <f aca="false">IF(C1832="","",IFERROR(INDEX('Cadastro Mestre'!$Q$5:$Q$504,MATCH(C1832,'Cadastro Mestre'!$A$5:$A$504,0)),""))</f>
        <v/>
      </c>
      <c r="F1832" s="21"/>
      <c r="G1832" s="21"/>
      <c r="H1832" s="21"/>
      <c r="I1832" s="21"/>
    </row>
    <row r="1833" customFormat="false" ht="15" hidden="false" customHeight="false" outlineLevel="0" collapsed="false">
      <c r="A1833" s="25"/>
      <c r="B1833" s="21"/>
      <c r="C1833" s="21"/>
      <c r="D1833" s="26" t="str">
        <f aca="false">IF(C1833="","",IFERROR(INDEX('Cadastro Mestre'!$C$5:$C$504,MATCH(C1833,'Cadastro Mestre'!$A$5:$A$504,0)),"código não encontrado"))</f>
        <v/>
      </c>
      <c r="E1833" s="24" t="str">
        <f aca="false">IF(C1833="","",IFERROR(INDEX('Cadastro Mestre'!$Q$5:$Q$504,MATCH(C1833,'Cadastro Mestre'!$A$5:$A$504,0)),""))</f>
        <v/>
      </c>
      <c r="F1833" s="21"/>
      <c r="G1833" s="21"/>
      <c r="H1833" s="21"/>
      <c r="I1833" s="21"/>
    </row>
    <row r="1834" customFormat="false" ht="15" hidden="false" customHeight="false" outlineLevel="0" collapsed="false">
      <c r="A1834" s="25"/>
      <c r="B1834" s="21"/>
      <c r="C1834" s="21"/>
      <c r="D1834" s="26" t="str">
        <f aca="false">IF(C1834="","",IFERROR(INDEX('Cadastro Mestre'!$C$5:$C$504,MATCH(C1834,'Cadastro Mestre'!$A$5:$A$504,0)),"código não encontrado"))</f>
        <v/>
      </c>
      <c r="E1834" s="24" t="str">
        <f aca="false">IF(C1834="","",IFERROR(INDEX('Cadastro Mestre'!$Q$5:$Q$504,MATCH(C1834,'Cadastro Mestre'!$A$5:$A$504,0)),""))</f>
        <v/>
      </c>
      <c r="F1834" s="21"/>
      <c r="G1834" s="21"/>
      <c r="H1834" s="21"/>
      <c r="I1834" s="21"/>
    </row>
    <row r="1835" customFormat="false" ht="15" hidden="false" customHeight="false" outlineLevel="0" collapsed="false">
      <c r="A1835" s="25"/>
      <c r="B1835" s="21"/>
      <c r="C1835" s="21"/>
      <c r="D1835" s="26" t="str">
        <f aca="false">IF(C1835="","",IFERROR(INDEX('Cadastro Mestre'!$C$5:$C$504,MATCH(C1835,'Cadastro Mestre'!$A$5:$A$504,0)),"código não encontrado"))</f>
        <v/>
      </c>
      <c r="E1835" s="24" t="str">
        <f aca="false">IF(C1835="","",IFERROR(INDEX('Cadastro Mestre'!$Q$5:$Q$504,MATCH(C1835,'Cadastro Mestre'!$A$5:$A$504,0)),""))</f>
        <v/>
      </c>
      <c r="F1835" s="21"/>
      <c r="G1835" s="21"/>
      <c r="H1835" s="21"/>
      <c r="I1835" s="21"/>
    </row>
    <row r="1836" customFormat="false" ht="15" hidden="false" customHeight="false" outlineLevel="0" collapsed="false">
      <c r="A1836" s="25"/>
      <c r="B1836" s="21"/>
      <c r="C1836" s="21"/>
      <c r="D1836" s="26" t="str">
        <f aca="false">IF(C1836="","",IFERROR(INDEX('Cadastro Mestre'!$C$5:$C$504,MATCH(C1836,'Cadastro Mestre'!$A$5:$A$504,0)),"código não encontrado"))</f>
        <v/>
      </c>
      <c r="E1836" s="24" t="str">
        <f aca="false">IF(C1836="","",IFERROR(INDEX('Cadastro Mestre'!$Q$5:$Q$504,MATCH(C1836,'Cadastro Mestre'!$A$5:$A$504,0)),""))</f>
        <v/>
      </c>
      <c r="F1836" s="21"/>
      <c r="G1836" s="21"/>
      <c r="H1836" s="21"/>
      <c r="I1836" s="21"/>
    </row>
    <row r="1837" customFormat="false" ht="15" hidden="false" customHeight="false" outlineLevel="0" collapsed="false">
      <c r="A1837" s="25"/>
      <c r="B1837" s="21"/>
      <c r="C1837" s="21"/>
      <c r="D1837" s="26" t="str">
        <f aca="false">IF(C1837="","",IFERROR(INDEX('Cadastro Mestre'!$C$5:$C$504,MATCH(C1837,'Cadastro Mestre'!$A$5:$A$504,0)),"código não encontrado"))</f>
        <v/>
      </c>
      <c r="E1837" s="24" t="str">
        <f aca="false">IF(C1837="","",IFERROR(INDEX('Cadastro Mestre'!$Q$5:$Q$504,MATCH(C1837,'Cadastro Mestre'!$A$5:$A$504,0)),""))</f>
        <v/>
      </c>
      <c r="F1837" s="21"/>
      <c r="G1837" s="21"/>
      <c r="H1837" s="21"/>
      <c r="I1837" s="21"/>
    </row>
    <row r="1838" customFormat="false" ht="15" hidden="false" customHeight="false" outlineLevel="0" collapsed="false">
      <c r="A1838" s="25"/>
      <c r="B1838" s="21"/>
      <c r="C1838" s="21"/>
      <c r="D1838" s="26" t="str">
        <f aca="false">IF(C1838="","",IFERROR(INDEX('Cadastro Mestre'!$C$5:$C$504,MATCH(C1838,'Cadastro Mestre'!$A$5:$A$504,0)),"código não encontrado"))</f>
        <v/>
      </c>
      <c r="E1838" s="24" t="str">
        <f aca="false">IF(C1838="","",IFERROR(INDEX('Cadastro Mestre'!$Q$5:$Q$504,MATCH(C1838,'Cadastro Mestre'!$A$5:$A$504,0)),""))</f>
        <v/>
      </c>
      <c r="F1838" s="21"/>
      <c r="G1838" s="21"/>
      <c r="H1838" s="21"/>
      <c r="I1838" s="21"/>
    </row>
    <row r="1839" customFormat="false" ht="15" hidden="false" customHeight="false" outlineLevel="0" collapsed="false">
      <c r="A1839" s="25"/>
      <c r="B1839" s="21"/>
      <c r="C1839" s="21"/>
      <c r="D1839" s="26" t="str">
        <f aca="false">IF(C1839="","",IFERROR(INDEX('Cadastro Mestre'!$C$5:$C$504,MATCH(C1839,'Cadastro Mestre'!$A$5:$A$504,0)),"código não encontrado"))</f>
        <v/>
      </c>
      <c r="E1839" s="24" t="str">
        <f aca="false">IF(C1839="","",IFERROR(INDEX('Cadastro Mestre'!$Q$5:$Q$504,MATCH(C1839,'Cadastro Mestre'!$A$5:$A$504,0)),""))</f>
        <v/>
      </c>
      <c r="F1839" s="21"/>
      <c r="G1839" s="21"/>
      <c r="H1839" s="21"/>
      <c r="I1839" s="21"/>
    </row>
    <row r="1840" customFormat="false" ht="15" hidden="false" customHeight="false" outlineLevel="0" collapsed="false">
      <c r="A1840" s="25"/>
      <c r="B1840" s="21"/>
      <c r="C1840" s="21"/>
      <c r="D1840" s="26" t="str">
        <f aca="false">IF(C1840="","",IFERROR(INDEX('Cadastro Mestre'!$C$5:$C$504,MATCH(C1840,'Cadastro Mestre'!$A$5:$A$504,0)),"código não encontrado"))</f>
        <v/>
      </c>
      <c r="E1840" s="24" t="str">
        <f aca="false">IF(C1840="","",IFERROR(INDEX('Cadastro Mestre'!$Q$5:$Q$504,MATCH(C1840,'Cadastro Mestre'!$A$5:$A$504,0)),""))</f>
        <v/>
      </c>
      <c r="F1840" s="21"/>
      <c r="G1840" s="21"/>
      <c r="H1840" s="21"/>
      <c r="I1840" s="21"/>
    </row>
    <row r="1841" customFormat="false" ht="15" hidden="false" customHeight="false" outlineLevel="0" collapsed="false">
      <c r="A1841" s="25"/>
      <c r="B1841" s="21"/>
      <c r="C1841" s="21"/>
      <c r="D1841" s="26" t="str">
        <f aca="false">IF(C1841="","",IFERROR(INDEX('Cadastro Mestre'!$C$5:$C$504,MATCH(C1841,'Cadastro Mestre'!$A$5:$A$504,0)),"código não encontrado"))</f>
        <v/>
      </c>
      <c r="E1841" s="24" t="str">
        <f aca="false">IF(C1841="","",IFERROR(INDEX('Cadastro Mestre'!$Q$5:$Q$504,MATCH(C1841,'Cadastro Mestre'!$A$5:$A$504,0)),""))</f>
        <v/>
      </c>
      <c r="F1841" s="21"/>
      <c r="G1841" s="21"/>
      <c r="H1841" s="21"/>
      <c r="I1841" s="21"/>
    </row>
    <row r="1842" customFormat="false" ht="15" hidden="false" customHeight="false" outlineLevel="0" collapsed="false">
      <c r="A1842" s="25"/>
      <c r="B1842" s="21"/>
      <c r="C1842" s="21"/>
      <c r="D1842" s="26" t="str">
        <f aca="false">IF(C1842="","",IFERROR(INDEX('Cadastro Mestre'!$C$5:$C$504,MATCH(C1842,'Cadastro Mestre'!$A$5:$A$504,0)),"código não encontrado"))</f>
        <v/>
      </c>
      <c r="E1842" s="24" t="str">
        <f aca="false">IF(C1842="","",IFERROR(INDEX('Cadastro Mestre'!$Q$5:$Q$504,MATCH(C1842,'Cadastro Mestre'!$A$5:$A$504,0)),""))</f>
        <v/>
      </c>
      <c r="F1842" s="21"/>
      <c r="G1842" s="21"/>
      <c r="H1842" s="21"/>
      <c r="I1842" s="21"/>
    </row>
    <row r="1843" customFormat="false" ht="15" hidden="false" customHeight="false" outlineLevel="0" collapsed="false">
      <c r="A1843" s="25"/>
      <c r="B1843" s="21"/>
      <c r="C1843" s="21"/>
      <c r="D1843" s="26" t="str">
        <f aca="false">IF(C1843="","",IFERROR(INDEX('Cadastro Mestre'!$C$5:$C$504,MATCH(C1843,'Cadastro Mestre'!$A$5:$A$504,0)),"código não encontrado"))</f>
        <v/>
      </c>
      <c r="E1843" s="24" t="str">
        <f aca="false">IF(C1843="","",IFERROR(INDEX('Cadastro Mestre'!$Q$5:$Q$504,MATCH(C1843,'Cadastro Mestre'!$A$5:$A$504,0)),""))</f>
        <v/>
      </c>
      <c r="F1843" s="21"/>
      <c r="G1843" s="21"/>
      <c r="H1843" s="21"/>
      <c r="I1843" s="21"/>
    </row>
    <row r="1844" customFormat="false" ht="15" hidden="false" customHeight="false" outlineLevel="0" collapsed="false">
      <c r="A1844" s="25"/>
      <c r="B1844" s="21"/>
      <c r="C1844" s="21"/>
      <c r="D1844" s="26" t="str">
        <f aca="false">IF(C1844="","",IFERROR(INDEX('Cadastro Mestre'!$C$5:$C$504,MATCH(C1844,'Cadastro Mestre'!$A$5:$A$504,0)),"código não encontrado"))</f>
        <v/>
      </c>
      <c r="E1844" s="24" t="str">
        <f aca="false">IF(C1844="","",IFERROR(INDEX('Cadastro Mestre'!$Q$5:$Q$504,MATCH(C1844,'Cadastro Mestre'!$A$5:$A$504,0)),""))</f>
        <v/>
      </c>
      <c r="F1844" s="21"/>
      <c r="G1844" s="21"/>
      <c r="H1844" s="21"/>
      <c r="I1844" s="21"/>
    </row>
    <row r="1845" customFormat="false" ht="15" hidden="false" customHeight="false" outlineLevel="0" collapsed="false">
      <c r="A1845" s="25"/>
      <c r="B1845" s="21"/>
      <c r="C1845" s="21"/>
      <c r="D1845" s="26" t="str">
        <f aca="false">IF(C1845="","",IFERROR(INDEX('Cadastro Mestre'!$C$5:$C$504,MATCH(C1845,'Cadastro Mestre'!$A$5:$A$504,0)),"código não encontrado"))</f>
        <v/>
      </c>
      <c r="E1845" s="24" t="str">
        <f aca="false">IF(C1845="","",IFERROR(INDEX('Cadastro Mestre'!$Q$5:$Q$504,MATCH(C1845,'Cadastro Mestre'!$A$5:$A$504,0)),""))</f>
        <v/>
      </c>
      <c r="F1845" s="21"/>
      <c r="G1845" s="21"/>
      <c r="H1845" s="21"/>
      <c r="I1845" s="21"/>
    </row>
    <row r="1846" customFormat="false" ht="15" hidden="false" customHeight="false" outlineLevel="0" collapsed="false">
      <c r="A1846" s="25"/>
      <c r="B1846" s="21"/>
      <c r="C1846" s="21"/>
      <c r="D1846" s="26" t="str">
        <f aca="false">IF(C1846="","",IFERROR(INDEX('Cadastro Mestre'!$C$5:$C$504,MATCH(C1846,'Cadastro Mestre'!$A$5:$A$504,0)),"código não encontrado"))</f>
        <v/>
      </c>
      <c r="E1846" s="24" t="str">
        <f aca="false">IF(C1846="","",IFERROR(INDEX('Cadastro Mestre'!$Q$5:$Q$504,MATCH(C1846,'Cadastro Mestre'!$A$5:$A$504,0)),""))</f>
        <v/>
      </c>
      <c r="F1846" s="21"/>
      <c r="G1846" s="21"/>
      <c r="H1846" s="21"/>
      <c r="I1846" s="21"/>
    </row>
    <row r="1847" customFormat="false" ht="15" hidden="false" customHeight="false" outlineLevel="0" collapsed="false">
      <c r="A1847" s="25"/>
      <c r="B1847" s="21"/>
      <c r="C1847" s="21"/>
      <c r="D1847" s="26" t="str">
        <f aca="false">IF(C1847="","",IFERROR(INDEX('Cadastro Mestre'!$C$5:$C$504,MATCH(C1847,'Cadastro Mestre'!$A$5:$A$504,0)),"código não encontrado"))</f>
        <v/>
      </c>
      <c r="E1847" s="24" t="str">
        <f aca="false">IF(C1847="","",IFERROR(INDEX('Cadastro Mestre'!$Q$5:$Q$504,MATCH(C1847,'Cadastro Mestre'!$A$5:$A$504,0)),""))</f>
        <v/>
      </c>
      <c r="F1847" s="21"/>
      <c r="G1847" s="21"/>
      <c r="H1847" s="21"/>
      <c r="I1847" s="21"/>
    </row>
    <row r="1848" customFormat="false" ht="15" hidden="false" customHeight="false" outlineLevel="0" collapsed="false">
      <c r="A1848" s="25"/>
      <c r="B1848" s="21"/>
      <c r="C1848" s="21"/>
      <c r="D1848" s="26" t="str">
        <f aca="false">IF(C1848="","",IFERROR(INDEX('Cadastro Mestre'!$C$5:$C$504,MATCH(C1848,'Cadastro Mestre'!$A$5:$A$504,0)),"código não encontrado"))</f>
        <v/>
      </c>
      <c r="E1848" s="24" t="str">
        <f aca="false">IF(C1848="","",IFERROR(INDEX('Cadastro Mestre'!$Q$5:$Q$504,MATCH(C1848,'Cadastro Mestre'!$A$5:$A$504,0)),""))</f>
        <v/>
      </c>
      <c r="F1848" s="21"/>
      <c r="G1848" s="21"/>
      <c r="H1848" s="21"/>
      <c r="I1848" s="21"/>
    </row>
    <row r="1849" customFormat="false" ht="15" hidden="false" customHeight="false" outlineLevel="0" collapsed="false">
      <c r="A1849" s="25"/>
      <c r="B1849" s="21"/>
      <c r="C1849" s="21"/>
      <c r="D1849" s="26" t="str">
        <f aca="false">IF(C1849="","",IFERROR(INDEX('Cadastro Mestre'!$C$5:$C$504,MATCH(C1849,'Cadastro Mestre'!$A$5:$A$504,0)),"código não encontrado"))</f>
        <v/>
      </c>
      <c r="E1849" s="24" t="str">
        <f aca="false">IF(C1849="","",IFERROR(INDEX('Cadastro Mestre'!$Q$5:$Q$504,MATCH(C1849,'Cadastro Mestre'!$A$5:$A$504,0)),""))</f>
        <v/>
      </c>
      <c r="F1849" s="21"/>
      <c r="G1849" s="21"/>
      <c r="H1849" s="21"/>
      <c r="I1849" s="21"/>
    </row>
    <row r="1850" customFormat="false" ht="15" hidden="false" customHeight="false" outlineLevel="0" collapsed="false">
      <c r="A1850" s="25"/>
      <c r="B1850" s="21"/>
      <c r="C1850" s="21"/>
      <c r="D1850" s="26" t="str">
        <f aca="false">IF(C1850="","",IFERROR(INDEX('Cadastro Mestre'!$C$5:$C$504,MATCH(C1850,'Cadastro Mestre'!$A$5:$A$504,0)),"código não encontrado"))</f>
        <v/>
      </c>
      <c r="E1850" s="24" t="str">
        <f aca="false">IF(C1850="","",IFERROR(INDEX('Cadastro Mestre'!$Q$5:$Q$504,MATCH(C1850,'Cadastro Mestre'!$A$5:$A$504,0)),""))</f>
        <v/>
      </c>
      <c r="F1850" s="21"/>
      <c r="G1850" s="21"/>
      <c r="H1850" s="21"/>
      <c r="I1850" s="21"/>
    </row>
    <row r="1851" customFormat="false" ht="15" hidden="false" customHeight="false" outlineLevel="0" collapsed="false">
      <c r="A1851" s="25"/>
      <c r="B1851" s="21"/>
      <c r="C1851" s="21"/>
      <c r="D1851" s="26" t="str">
        <f aca="false">IF(C1851="","",IFERROR(INDEX('Cadastro Mestre'!$C$5:$C$504,MATCH(C1851,'Cadastro Mestre'!$A$5:$A$504,0)),"código não encontrado"))</f>
        <v/>
      </c>
      <c r="E1851" s="24" t="str">
        <f aca="false">IF(C1851="","",IFERROR(INDEX('Cadastro Mestre'!$Q$5:$Q$504,MATCH(C1851,'Cadastro Mestre'!$A$5:$A$504,0)),""))</f>
        <v/>
      </c>
      <c r="F1851" s="21"/>
      <c r="G1851" s="21"/>
      <c r="H1851" s="21"/>
      <c r="I1851" s="21"/>
    </row>
    <row r="1852" customFormat="false" ht="15" hidden="false" customHeight="false" outlineLevel="0" collapsed="false">
      <c r="A1852" s="25"/>
      <c r="B1852" s="21"/>
      <c r="C1852" s="21"/>
      <c r="D1852" s="26" t="str">
        <f aca="false">IF(C1852="","",IFERROR(INDEX('Cadastro Mestre'!$C$5:$C$504,MATCH(C1852,'Cadastro Mestre'!$A$5:$A$504,0)),"código não encontrado"))</f>
        <v/>
      </c>
      <c r="E1852" s="24" t="str">
        <f aca="false">IF(C1852="","",IFERROR(INDEX('Cadastro Mestre'!$Q$5:$Q$504,MATCH(C1852,'Cadastro Mestre'!$A$5:$A$504,0)),""))</f>
        <v/>
      </c>
      <c r="F1852" s="21"/>
      <c r="G1852" s="21"/>
      <c r="H1852" s="21"/>
      <c r="I1852" s="21"/>
    </row>
    <row r="1853" customFormat="false" ht="15" hidden="false" customHeight="false" outlineLevel="0" collapsed="false">
      <c r="A1853" s="25"/>
      <c r="B1853" s="21"/>
      <c r="C1853" s="21"/>
      <c r="D1853" s="26" t="str">
        <f aca="false">IF(C1853="","",IFERROR(INDEX('Cadastro Mestre'!$C$5:$C$504,MATCH(C1853,'Cadastro Mestre'!$A$5:$A$504,0)),"código não encontrado"))</f>
        <v/>
      </c>
      <c r="E1853" s="24" t="str">
        <f aca="false">IF(C1853="","",IFERROR(INDEX('Cadastro Mestre'!$Q$5:$Q$504,MATCH(C1853,'Cadastro Mestre'!$A$5:$A$504,0)),""))</f>
        <v/>
      </c>
      <c r="F1853" s="21"/>
      <c r="G1853" s="21"/>
      <c r="H1853" s="21"/>
      <c r="I1853" s="21"/>
    </row>
    <row r="1854" customFormat="false" ht="15" hidden="false" customHeight="false" outlineLevel="0" collapsed="false">
      <c r="A1854" s="25"/>
      <c r="B1854" s="21"/>
      <c r="C1854" s="21"/>
      <c r="D1854" s="26" t="str">
        <f aca="false">IF(C1854="","",IFERROR(INDEX('Cadastro Mestre'!$C$5:$C$504,MATCH(C1854,'Cadastro Mestre'!$A$5:$A$504,0)),"código não encontrado"))</f>
        <v/>
      </c>
      <c r="E1854" s="24" t="str">
        <f aca="false">IF(C1854="","",IFERROR(INDEX('Cadastro Mestre'!$Q$5:$Q$504,MATCH(C1854,'Cadastro Mestre'!$A$5:$A$504,0)),""))</f>
        <v/>
      </c>
      <c r="F1854" s="21"/>
      <c r="G1854" s="21"/>
      <c r="H1854" s="21"/>
      <c r="I1854" s="21"/>
    </row>
    <row r="1855" customFormat="false" ht="15" hidden="false" customHeight="false" outlineLevel="0" collapsed="false">
      <c r="A1855" s="25"/>
      <c r="B1855" s="21"/>
      <c r="C1855" s="21"/>
      <c r="D1855" s="26" t="str">
        <f aca="false">IF(C1855="","",IFERROR(INDEX('Cadastro Mestre'!$C$5:$C$504,MATCH(C1855,'Cadastro Mestre'!$A$5:$A$504,0)),"código não encontrado"))</f>
        <v/>
      </c>
      <c r="E1855" s="24" t="str">
        <f aca="false">IF(C1855="","",IFERROR(INDEX('Cadastro Mestre'!$Q$5:$Q$504,MATCH(C1855,'Cadastro Mestre'!$A$5:$A$504,0)),""))</f>
        <v/>
      </c>
      <c r="F1855" s="21"/>
      <c r="G1855" s="21"/>
      <c r="H1855" s="21"/>
      <c r="I1855" s="21"/>
    </row>
    <row r="1856" customFormat="false" ht="15" hidden="false" customHeight="false" outlineLevel="0" collapsed="false">
      <c r="A1856" s="25"/>
      <c r="B1856" s="21"/>
      <c r="C1856" s="21"/>
      <c r="D1856" s="26" t="str">
        <f aca="false">IF(C1856="","",IFERROR(INDEX('Cadastro Mestre'!$C$5:$C$504,MATCH(C1856,'Cadastro Mestre'!$A$5:$A$504,0)),"código não encontrado"))</f>
        <v/>
      </c>
      <c r="E1856" s="24" t="str">
        <f aca="false">IF(C1856="","",IFERROR(INDEX('Cadastro Mestre'!$Q$5:$Q$504,MATCH(C1856,'Cadastro Mestre'!$A$5:$A$504,0)),""))</f>
        <v/>
      </c>
      <c r="F1856" s="21"/>
      <c r="G1856" s="21"/>
      <c r="H1856" s="21"/>
      <c r="I1856" s="21"/>
    </row>
    <row r="1857" customFormat="false" ht="15" hidden="false" customHeight="false" outlineLevel="0" collapsed="false">
      <c r="A1857" s="25"/>
      <c r="B1857" s="21"/>
      <c r="C1857" s="21"/>
      <c r="D1857" s="26" t="str">
        <f aca="false">IF(C1857="","",IFERROR(INDEX('Cadastro Mestre'!$C$5:$C$504,MATCH(C1857,'Cadastro Mestre'!$A$5:$A$504,0)),"código não encontrado"))</f>
        <v/>
      </c>
      <c r="E1857" s="24" t="str">
        <f aca="false">IF(C1857="","",IFERROR(INDEX('Cadastro Mestre'!$Q$5:$Q$504,MATCH(C1857,'Cadastro Mestre'!$A$5:$A$504,0)),""))</f>
        <v/>
      </c>
      <c r="F1857" s="21"/>
      <c r="G1857" s="21"/>
      <c r="H1857" s="21"/>
      <c r="I1857" s="21"/>
    </row>
    <row r="1858" customFormat="false" ht="15" hidden="false" customHeight="false" outlineLevel="0" collapsed="false">
      <c r="A1858" s="25"/>
      <c r="B1858" s="21"/>
      <c r="C1858" s="21"/>
      <c r="D1858" s="26" t="str">
        <f aca="false">IF(C1858="","",IFERROR(INDEX('Cadastro Mestre'!$C$5:$C$504,MATCH(C1858,'Cadastro Mestre'!$A$5:$A$504,0)),"código não encontrado"))</f>
        <v/>
      </c>
      <c r="E1858" s="24" t="str">
        <f aca="false">IF(C1858="","",IFERROR(INDEX('Cadastro Mestre'!$Q$5:$Q$504,MATCH(C1858,'Cadastro Mestre'!$A$5:$A$504,0)),""))</f>
        <v/>
      </c>
      <c r="F1858" s="21"/>
      <c r="G1858" s="21"/>
      <c r="H1858" s="21"/>
      <c r="I1858" s="21"/>
    </row>
    <row r="1859" customFormat="false" ht="15" hidden="false" customHeight="false" outlineLevel="0" collapsed="false">
      <c r="A1859" s="25"/>
      <c r="B1859" s="21"/>
      <c r="C1859" s="21"/>
      <c r="D1859" s="26" t="str">
        <f aca="false">IF(C1859="","",IFERROR(INDEX('Cadastro Mestre'!$C$5:$C$504,MATCH(C1859,'Cadastro Mestre'!$A$5:$A$504,0)),"código não encontrado"))</f>
        <v/>
      </c>
      <c r="E1859" s="24" t="str">
        <f aca="false">IF(C1859="","",IFERROR(INDEX('Cadastro Mestre'!$Q$5:$Q$504,MATCH(C1859,'Cadastro Mestre'!$A$5:$A$504,0)),""))</f>
        <v/>
      </c>
      <c r="F1859" s="21"/>
      <c r="G1859" s="21"/>
      <c r="H1859" s="21"/>
      <c r="I1859" s="21"/>
    </row>
    <row r="1860" customFormat="false" ht="15" hidden="false" customHeight="false" outlineLevel="0" collapsed="false">
      <c r="A1860" s="25"/>
      <c r="B1860" s="21"/>
      <c r="C1860" s="21"/>
      <c r="D1860" s="26" t="str">
        <f aca="false">IF(C1860="","",IFERROR(INDEX('Cadastro Mestre'!$C$5:$C$504,MATCH(C1860,'Cadastro Mestre'!$A$5:$A$504,0)),"código não encontrado"))</f>
        <v/>
      </c>
      <c r="E1860" s="24" t="str">
        <f aca="false">IF(C1860="","",IFERROR(INDEX('Cadastro Mestre'!$Q$5:$Q$504,MATCH(C1860,'Cadastro Mestre'!$A$5:$A$504,0)),""))</f>
        <v/>
      </c>
      <c r="F1860" s="21"/>
      <c r="G1860" s="21"/>
      <c r="H1860" s="21"/>
      <c r="I1860" s="21"/>
    </row>
    <row r="1861" customFormat="false" ht="15" hidden="false" customHeight="false" outlineLevel="0" collapsed="false">
      <c r="A1861" s="25"/>
      <c r="B1861" s="21"/>
      <c r="C1861" s="21"/>
      <c r="D1861" s="26" t="str">
        <f aca="false">IF(C1861="","",IFERROR(INDEX('Cadastro Mestre'!$C$5:$C$504,MATCH(C1861,'Cadastro Mestre'!$A$5:$A$504,0)),"código não encontrado"))</f>
        <v/>
      </c>
      <c r="E1861" s="24" t="str">
        <f aca="false">IF(C1861="","",IFERROR(INDEX('Cadastro Mestre'!$Q$5:$Q$504,MATCH(C1861,'Cadastro Mestre'!$A$5:$A$504,0)),""))</f>
        <v/>
      </c>
      <c r="F1861" s="21"/>
      <c r="G1861" s="21"/>
      <c r="H1861" s="21"/>
      <c r="I1861" s="21"/>
    </row>
    <row r="1862" customFormat="false" ht="15" hidden="false" customHeight="false" outlineLevel="0" collapsed="false">
      <c r="A1862" s="25"/>
      <c r="B1862" s="21"/>
      <c r="C1862" s="21"/>
      <c r="D1862" s="26" t="str">
        <f aca="false">IF(C1862="","",IFERROR(INDEX('Cadastro Mestre'!$C$5:$C$504,MATCH(C1862,'Cadastro Mestre'!$A$5:$A$504,0)),"código não encontrado"))</f>
        <v/>
      </c>
      <c r="E1862" s="24" t="str">
        <f aca="false">IF(C1862="","",IFERROR(INDEX('Cadastro Mestre'!$Q$5:$Q$504,MATCH(C1862,'Cadastro Mestre'!$A$5:$A$504,0)),""))</f>
        <v/>
      </c>
      <c r="F1862" s="21"/>
      <c r="G1862" s="21"/>
      <c r="H1862" s="21"/>
      <c r="I1862" s="21"/>
    </row>
    <row r="1863" customFormat="false" ht="15" hidden="false" customHeight="false" outlineLevel="0" collapsed="false">
      <c r="A1863" s="25"/>
      <c r="B1863" s="21"/>
      <c r="C1863" s="21"/>
      <c r="D1863" s="26" t="str">
        <f aca="false">IF(C1863="","",IFERROR(INDEX('Cadastro Mestre'!$C$5:$C$504,MATCH(C1863,'Cadastro Mestre'!$A$5:$A$504,0)),"código não encontrado"))</f>
        <v/>
      </c>
      <c r="E1863" s="24" t="str">
        <f aca="false">IF(C1863="","",IFERROR(INDEX('Cadastro Mestre'!$Q$5:$Q$504,MATCH(C1863,'Cadastro Mestre'!$A$5:$A$504,0)),""))</f>
        <v/>
      </c>
      <c r="F1863" s="21"/>
      <c r="G1863" s="21"/>
      <c r="H1863" s="21"/>
      <c r="I1863" s="21"/>
    </row>
    <row r="1864" customFormat="false" ht="15" hidden="false" customHeight="false" outlineLevel="0" collapsed="false">
      <c r="A1864" s="25"/>
      <c r="B1864" s="21"/>
      <c r="C1864" s="21"/>
      <c r="D1864" s="26" t="str">
        <f aca="false">IF(C1864="","",IFERROR(INDEX('Cadastro Mestre'!$C$5:$C$504,MATCH(C1864,'Cadastro Mestre'!$A$5:$A$504,0)),"código não encontrado"))</f>
        <v/>
      </c>
      <c r="E1864" s="24" t="str">
        <f aca="false">IF(C1864="","",IFERROR(INDEX('Cadastro Mestre'!$Q$5:$Q$504,MATCH(C1864,'Cadastro Mestre'!$A$5:$A$504,0)),""))</f>
        <v/>
      </c>
      <c r="F1864" s="21"/>
      <c r="G1864" s="21"/>
      <c r="H1864" s="21"/>
      <c r="I1864" s="21"/>
    </row>
    <row r="1865" customFormat="false" ht="15" hidden="false" customHeight="false" outlineLevel="0" collapsed="false">
      <c r="A1865" s="25"/>
      <c r="B1865" s="21"/>
      <c r="C1865" s="21"/>
      <c r="D1865" s="26" t="str">
        <f aca="false">IF(C1865="","",IFERROR(INDEX('Cadastro Mestre'!$C$5:$C$504,MATCH(C1865,'Cadastro Mestre'!$A$5:$A$504,0)),"código não encontrado"))</f>
        <v/>
      </c>
      <c r="E1865" s="24" t="str">
        <f aca="false">IF(C1865="","",IFERROR(INDEX('Cadastro Mestre'!$Q$5:$Q$504,MATCH(C1865,'Cadastro Mestre'!$A$5:$A$504,0)),""))</f>
        <v/>
      </c>
      <c r="F1865" s="21"/>
      <c r="G1865" s="21"/>
      <c r="H1865" s="21"/>
      <c r="I1865" s="21"/>
    </row>
    <row r="1866" customFormat="false" ht="15" hidden="false" customHeight="false" outlineLevel="0" collapsed="false">
      <c r="A1866" s="25"/>
      <c r="B1866" s="21"/>
      <c r="C1866" s="21"/>
      <c r="D1866" s="26" t="str">
        <f aca="false">IF(C1866="","",IFERROR(INDEX('Cadastro Mestre'!$C$5:$C$504,MATCH(C1866,'Cadastro Mestre'!$A$5:$A$504,0)),"código não encontrado"))</f>
        <v/>
      </c>
      <c r="E1866" s="24" t="str">
        <f aca="false">IF(C1866="","",IFERROR(INDEX('Cadastro Mestre'!$Q$5:$Q$504,MATCH(C1866,'Cadastro Mestre'!$A$5:$A$504,0)),""))</f>
        <v/>
      </c>
      <c r="F1866" s="21"/>
      <c r="G1866" s="21"/>
      <c r="H1866" s="21"/>
      <c r="I1866" s="21"/>
    </row>
    <row r="1867" customFormat="false" ht="15" hidden="false" customHeight="false" outlineLevel="0" collapsed="false">
      <c r="A1867" s="25"/>
      <c r="B1867" s="21"/>
      <c r="C1867" s="21"/>
      <c r="D1867" s="26" t="str">
        <f aca="false">IF(C1867="","",IFERROR(INDEX('Cadastro Mestre'!$C$5:$C$504,MATCH(C1867,'Cadastro Mestre'!$A$5:$A$504,0)),"código não encontrado"))</f>
        <v/>
      </c>
      <c r="E1867" s="24" t="str">
        <f aca="false">IF(C1867="","",IFERROR(INDEX('Cadastro Mestre'!$Q$5:$Q$504,MATCH(C1867,'Cadastro Mestre'!$A$5:$A$504,0)),""))</f>
        <v/>
      </c>
      <c r="F1867" s="21"/>
      <c r="G1867" s="21"/>
      <c r="H1867" s="21"/>
      <c r="I1867" s="21"/>
    </row>
    <row r="1868" customFormat="false" ht="15" hidden="false" customHeight="false" outlineLevel="0" collapsed="false">
      <c r="A1868" s="25"/>
      <c r="B1868" s="21"/>
      <c r="C1868" s="21"/>
      <c r="D1868" s="26" t="str">
        <f aca="false">IF(C1868="","",IFERROR(INDEX('Cadastro Mestre'!$C$5:$C$504,MATCH(C1868,'Cadastro Mestre'!$A$5:$A$504,0)),"código não encontrado"))</f>
        <v/>
      </c>
      <c r="E1868" s="24" t="str">
        <f aca="false">IF(C1868="","",IFERROR(INDEX('Cadastro Mestre'!$Q$5:$Q$504,MATCH(C1868,'Cadastro Mestre'!$A$5:$A$504,0)),""))</f>
        <v/>
      </c>
      <c r="F1868" s="21"/>
      <c r="G1868" s="21"/>
      <c r="H1868" s="21"/>
      <c r="I1868" s="21"/>
    </row>
    <row r="1869" customFormat="false" ht="15" hidden="false" customHeight="false" outlineLevel="0" collapsed="false">
      <c r="A1869" s="25"/>
      <c r="B1869" s="21"/>
      <c r="C1869" s="21"/>
      <c r="D1869" s="26" t="str">
        <f aca="false">IF(C1869="","",IFERROR(INDEX('Cadastro Mestre'!$C$5:$C$504,MATCH(C1869,'Cadastro Mestre'!$A$5:$A$504,0)),"código não encontrado"))</f>
        <v/>
      </c>
      <c r="E1869" s="24" t="str">
        <f aca="false">IF(C1869="","",IFERROR(INDEX('Cadastro Mestre'!$Q$5:$Q$504,MATCH(C1869,'Cadastro Mestre'!$A$5:$A$504,0)),""))</f>
        <v/>
      </c>
      <c r="F1869" s="21"/>
      <c r="G1869" s="21"/>
      <c r="H1869" s="21"/>
      <c r="I1869" s="21"/>
    </row>
    <row r="1870" customFormat="false" ht="15" hidden="false" customHeight="false" outlineLevel="0" collapsed="false">
      <c r="A1870" s="25"/>
      <c r="B1870" s="21"/>
      <c r="C1870" s="21"/>
      <c r="D1870" s="26" t="str">
        <f aca="false">IF(C1870="","",IFERROR(INDEX('Cadastro Mestre'!$C$5:$C$504,MATCH(C1870,'Cadastro Mestre'!$A$5:$A$504,0)),"código não encontrado"))</f>
        <v/>
      </c>
      <c r="E1870" s="24" t="str">
        <f aca="false">IF(C1870="","",IFERROR(INDEX('Cadastro Mestre'!$Q$5:$Q$504,MATCH(C1870,'Cadastro Mestre'!$A$5:$A$504,0)),""))</f>
        <v/>
      </c>
      <c r="F1870" s="21"/>
      <c r="G1870" s="21"/>
      <c r="H1870" s="21"/>
      <c r="I1870" s="21"/>
    </row>
    <row r="1871" customFormat="false" ht="15" hidden="false" customHeight="false" outlineLevel="0" collapsed="false">
      <c r="A1871" s="25"/>
      <c r="B1871" s="21"/>
      <c r="C1871" s="21"/>
      <c r="D1871" s="26" t="str">
        <f aca="false">IF(C1871="","",IFERROR(INDEX('Cadastro Mestre'!$C$5:$C$504,MATCH(C1871,'Cadastro Mestre'!$A$5:$A$504,0)),"código não encontrado"))</f>
        <v/>
      </c>
      <c r="E1871" s="24" t="str">
        <f aca="false">IF(C1871="","",IFERROR(INDEX('Cadastro Mestre'!$Q$5:$Q$504,MATCH(C1871,'Cadastro Mestre'!$A$5:$A$504,0)),""))</f>
        <v/>
      </c>
      <c r="F1871" s="21"/>
      <c r="G1871" s="21"/>
      <c r="H1871" s="21"/>
      <c r="I1871" s="21"/>
    </row>
    <row r="1872" customFormat="false" ht="15" hidden="false" customHeight="false" outlineLevel="0" collapsed="false">
      <c r="A1872" s="25"/>
      <c r="B1872" s="21"/>
      <c r="C1872" s="21"/>
      <c r="D1872" s="26" t="str">
        <f aca="false">IF(C1872="","",IFERROR(INDEX('Cadastro Mestre'!$C$5:$C$504,MATCH(C1872,'Cadastro Mestre'!$A$5:$A$504,0)),"código não encontrado"))</f>
        <v/>
      </c>
      <c r="E1872" s="24" t="str">
        <f aca="false">IF(C1872="","",IFERROR(INDEX('Cadastro Mestre'!$Q$5:$Q$504,MATCH(C1872,'Cadastro Mestre'!$A$5:$A$504,0)),""))</f>
        <v/>
      </c>
      <c r="F1872" s="21"/>
      <c r="G1872" s="21"/>
      <c r="H1872" s="21"/>
      <c r="I1872" s="21"/>
    </row>
    <row r="1873" customFormat="false" ht="15" hidden="false" customHeight="false" outlineLevel="0" collapsed="false">
      <c r="A1873" s="25"/>
      <c r="B1873" s="21"/>
      <c r="C1873" s="21"/>
      <c r="D1873" s="26" t="str">
        <f aca="false">IF(C1873="","",IFERROR(INDEX('Cadastro Mestre'!$C$5:$C$504,MATCH(C1873,'Cadastro Mestre'!$A$5:$A$504,0)),"código não encontrado"))</f>
        <v/>
      </c>
      <c r="E1873" s="24" t="str">
        <f aca="false">IF(C1873="","",IFERROR(INDEX('Cadastro Mestre'!$Q$5:$Q$504,MATCH(C1873,'Cadastro Mestre'!$A$5:$A$504,0)),""))</f>
        <v/>
      </c>
      <c r="F1873" s="21"/>
      <c r="G1873" s="21"/>
      <c r="H1873" s="21"/>
      <c r="I1873" s="21"/>
    </row>
    <row r="1874" customFormat="false" ht="15" hidden="false" customHeight="false" outlineLevel="0" collapsed="false">
      <c r="A1874" s="25"/>
      <c r="B1874" s="21"/>
      <c r="C1874" s="21"/>
      <c r="D1874" s="26" t="str">
        <f aca="false">IF(C1874="","",IFERROR(INDEX('Cadastro Mestre'!$C$5:$C$504,MATCH(C1874,'Cadastro Mestre'!$A$5:$A$504,0)),"código não encontrado"))</f>
        <v/>
      </c>
      <c r="E1874" s="24" t="str">
        <f aca="false">IF(C1874="","",IFERROR(INDEX('Cadastro Mestre'!$Q$5:$Q$504,MATCH(C1874,'Cadastro Mestre'!$A$5:$A$504,0)),""))</f>
        <v/>
      </c>
      <c r="F1874" s="21"/>
      <c r="G1874" s="21"/>
      <c r="H1874" s="21"/>
      <c r="I1874" s="21"/>
    </row>
    <row r="1875" customFormat="false" ht="15" hidden="false" customHeight="false" outlineLevel="0" collapsed="false">
      <c r="A1875" s="25"/>
      <c r="B1875" s="21"/>
      <c r="C1875" s="21"/>
      <c r="D1875" s="26" t="str">
        <f aca="false">IF(C1875="","",IFERROR(INDEX('Cadastro Mestre'!$C$5:$C$504,MATCH(C1875,'Cadastro Mestre'!$A$5:$A$504,0)),"código não encontrado"))</f>
        <v/>
      </c>
      <c r="E1875" s="24" t="str">
        <f aca="false">IF(C1875="","",IFERROR(INDEX('Cadastro Mestre'!$Q$5:$Q$504,MATCH(C1875,'Cadastro Mestre'!$A$5:$A$504,0)),""))</f>
        <v/>
      </c>
      <c r="F1875" s="21"/>
      <c r="G1875" s="21"/>
      <c r="H1875" s="21"/>
      <c r="I1875" s="21"/>
    </row>
    <row r="1876" customFormat="false" ht="15" hidden="false" customHeight="false" outlineLevel="0" collapsed="false">
      <c r="A1876" s="25"/>
      <c r="B1876" s="21"/>
      <c r="C1876" s="21"/>
      <c r="D1876" s="26" t="str">
        <f aca="false">IF(C1876="","",IFERROR(INDEX('Cadastro Mestre'!$C$5:$C$504,MATCH(C1876,'Cadastro Mestre'!$A$5:$A$504,0)),"código não encontrado"))</f>
        <v/>
      </c>
      <c r="E1876" s="24" t="str">
        <f aca="false">IF(C1876="","",IFERROR(INDEX('Cadastro Mestre'!$Q$5:$Q$504,MATCH(C1876,'Cadastro Mestre'!$A$5:$A$504,0)),""))</f>
        <v/>
      </c>
      <c r="F1876" s="21"/>
      <c r="G1876" s="21"/>
      <c r="H1876" s="21"/>
      <c r="I1876" s="21"/>
    </row>
    <row r="1877" customFormat="false" ht="15" hidden="false" customHeight="false" outlineLevel="0" collapsed="false">
      <c r="A1877" s="25"/>
      <c r="B1877" s="21"/>
      <c r="C1877" s="21"/>
      <c r="D1877" s="26" t="str">
        <f aca="false">IF(C1877="","",IFERROR(INDEX('Cadastro Mestre'!$C$5:$C$504,MATCH(C1877,'Cadastro Mestre'!$A$5:$A$504,0)),"código não encontrado"))</f>
        <v/>
      </c>
      <c r="E1877" s="24" t="str">
        <f aca="false">IF(C1877="","",IFERROR(INDEX('Cadastro Mestre'!$Q$5:$Q$504,MATCH(C1877,'Cadastro Mestre'!$A$5:$A$504,0)),""))</f>
        <v/>
      </c>
      <c r="F1877" s="21"/>
      <c r="G1877" s="21"/>
      <c r="H1877" s="21"/>
      <c r="I1877" s="21"/>
    </row>
    <row r="1878" customFormat="false" ht="15" hidden="false" customHeight="false" outlineLevel="0" collapsed="false">
      <c r="A1878" s="25"/>
      <c r="B1878" s="21"/>
      <c r="C1878" s="21"/>
      <c r="D1878" s="26" t="str">
        <f aca="false">IF(C1878="","",IFERROR(INDEX('Cadastro Mestre'!$C$5:$C$504,MATCH(C1878,'Cadastro Mestre'!$A$5:$A$504,0)),"código não encontrado"))</f>
        <v/>
      </c>
      <c r="E1878" s="24" t="str">
        <f aca="false">IF(C1878="","",IFERROR(INDEX('Cadastro Mestre'!$Q$5:$Q$504,MATCH(C1878,'Cadastro Mestre'!$A$5:$A$504,0)),""))</f>
        <v/>
      </c>
      <c r="F1878" s="21"/>
      <c r="G1878" s="21"/>
      <c r="H1878" s="21"/>
      <c r="I1878" s="21"/>
    </row>
    <row r="1879" customFormat="false" ht="15" hidden="false" customHeight="false" outlineLevel="0" collapsed="false">
      <c r="A1879" s="25"/>
      <c r="B1879" s="21"/>
      <c r="C1879" s="21"/>
      <c r="D1879" s="26" t="str">
        <f aca="false">IF(C1879="","",IFERROR(INDEX('Cadastro Mestre'!$C$5:$C$504,MATCH(C1879,'Cadastro Mestre'!$A$5:$A$504,0)),"código não encontrado"))</f>
        <v/>
      </c>
      <c r="E1879" s="24" t="str">
        <f aca="false">IF(C1879="","",IFERROR(INDEX('Cadastro Mestre'!$Q$5:$Q$504,MATCH(C1879,'Cadastro Mestre'!$A$5:$A$504,0)),""))</f>
        <v/>
      </c>
      <c r="F1879" s="21"/>
      <c r="G1879" s="21"/>
      <c r="H1879" s="21"/>
      <c r="I1879" s="21"/>
    </row>
    <row r="1880" customFormat="false" ht="15" hidden="false" customHeight="false" outlineLevel="0" collapsed="false">
      <c r="A1880" s="25"/>
      <c r="B1880" s="21"/>
      <c r="C1880" s="21"/>
      <c r="D1880" s="26" t="str">
        <f aca="false">IF(C1880="","",IFERROR(INDEX('Cadastro Mestre'!$C$5:$C$504,MATCH(C1880,'Cadastro Mestre'!$A$5:$A$504,0)),"código não encontrado"))</f>
        <v/>
      </c>
      <c r="E1880" s="24" t="str">
        <f aca="false">IF(C1880="","",IFERROR(INDEX('Cadastro Mestre'!$Q$5:$Q$504,MATCH(C1880,'Cadastro Mestre'!$A$5:$A$504,0)),""))</f>
        <v/>
      </c>
      <c r="F1880" s="21"/>
      <c r="G1880" s="21"/>
      <c r="H1880" s="21"/>
      <c r="I1880" s="21"/>
    </row>
    <row r="1881" customFormat="false" ht="15" hidden="false" customHeight="false" outlineLevel="0" collapsed="false">
      <c r="A1881" s="25"/>
      <c r="B1881" s="21"/>
      <c r="C1881" s="21"/>
      <c r="D1881" s="26" t="str">
        <f aca="false">IF(C1881="","",IFERROR(INDEX('Cadastro Mestre'!$C$5:$C$504,MATCH(C1881,'Cadastro Mestre'!$A$5:$A$504,0)),"código não encontrado"))</f>
        <v/>
      </c>
      <c r="E1881" s="24" t="str">
        <f aca="false">IF(C1881="","",IFERROR(INDEX('Cadastro Mestre'!$Q$5:$Q$504,MATCH(C1881,'Cadastro Mestre'!$A$5:$A$504,0)),""))</f>
        <v/>
      </c>
      <c r="F1881" s="21"/>
      <c r="G1881" s="21"/>
      <c r="H1881" s="21"/>
      <c r="I1881" s="21"/>
    </row>
    <row r="1882" customFormat="false" ht="15" hidden="false" customHeight="false" outlineLevel="0" collapsed="false">
      <c r="A1882" s="25"/>
      <c r="B1882" s="21"/>
      <c r="C1882" s="21"/>
      <c r="D1882" s="26" t="str">
        <f aca="false">IF(C1882="","",IFERROR(INDEX('Cadastro Mestre'!$C$5:$C$504,MATCH(C1882,'Cadastro Mestre'!$A$5:$A$504,0)),"código não encontrado"))</f>
        <v/>
      </c>
      <c r="E1882" s="24" t="str">
        <f aca="false">IF(C1882="","",IFERROR(INDEX('Cadastro Mestre'!$Q$5:$Q$504,MATCH(C1882,'Cadastro Mestre'!$A$5:$A$504,0)),""))</f>
        <v/>
      </c>
      <c r="F1882" s="21"/>
      <c r="G1882" s="21"/>
      <c r="H1882" s="21"/>
      <c r="I1882" s="21"/>
    </row>
    <row r="1883" customFormat="false" ht="15" hidden="false" customHeight="false" outlineLevel="0" collapsed="false">
      <c r="A1883" s="25"/>
      <c r="B1883" s="21"/>
      <c r="C1883" s="21"/>
      <c r="D1883" s="26" t="str">
        <f aca="false">IF(C1883="","",IFERROR(INDEX('Cadastro Mestre'!$C$5:$C$504,MATCH(C1883,'Cadastro Mestre'!$A$5:$A$504,0)),"código não encontrado"))</f>
        <v/>
      </c>
      <c r="E1883" s="24" t="str">
        <f aca="false">IF(C1883="","",IFERROR(INDEX('Cadastro Mestre'!$Q$5:$Q$504,MATCH(C1883,'Cadastro Mestre'!$A$5:$A$504,0)),""))</f>
        <v/>
      </c>
      <c r="F1883" s="21"/>
      <c r="G1883" s="21"/>
      <c r="H1883" s="21"/>
      <c r="I1883" s="21"/>
    </row>
    <row r="1884" customFormat="false" ht="15" hidden="false" customHeight="false" outlineLevel="0" collapsed="false">
      <c r="A1884" s="25"/>
      <c r="B1884" s="21"/>
      <c r="C1884" s="21"/>
      <c r="D1884" s="26" t="str">
        <f aca="false">IF(C1884="","",IFERROR(INDEX('Cadastro Mestre'!$C$5:$C$504,MATCH(C1884,'Cadastro Mestre'!$A$5:$A$504,0)),"código não encontrado"))</f>
        <v/>
      </c>
      <c r="E1884" s="24" t="str">
        <f aca="false">IF(C1884="","",IFERROR(INDEX('Cadastro Mestre'!$Q$5:$Q$504,MATCH(C1884,'Cadastro Mestre'!$A$5:$A$504,0)),""))</f>
        <v/>
      </c>
      <c r="F1884" s="21"/>
      <c r="G1884" s="21"/>
      <c r="H1884" s="21"/>
      <c r="I1884" s="21"/>
    </row>
    <row r="1885" customFormat="false" ht="15" hidden="false" customHeight="false" outlineLevel="0" collapsed="false">
      <c r="A1885" s="25"/>
      <c r="B1885" s="21"/>
      <c r="C1885" s="21"/>
      <c r="D1885" s="26" t="str">
        <f aca="false">IF(C1885="","",IFERROR(INDEX('Cadastro Mestre'!$C$5:$C$504,MATCH(C1885,'Cadastro Mestre'!$A$5:$A$504,0)),"código não encontrado"))</f>
        <v/>
      </c>
      <c r="E1885" s="24" t="str">
        <f aca="false">IF(C1885="","",IFERROR(INDEX('Cadastro Mestre'!$Q$5:$Q$504,MATCH(C1885,'Cadastro Mestre'!$A$5:$A$504,0)),""))</f>
        <v/>
      </c>
      <c r="F1885" s="21"/>
      <c r="G1885" s="21"/>
      <c r="H1885" s="21"/>
      <c r="I1885" s="21"/>
    </row>
    <row r="1886" customFormat="false" ht="15" hidden="false" customHeight="false" outlineLevel="0" collapsed="false">
      <c r="A1886" s="25"/>
      <c r="B1886" s="21"/>
      <c r="C1886" s="21"/>
      <c r="D1886" s="26" t="str">
        <f aca="false">IF(C1886="","",IFERROR(INDEX('Cadastro Mestre'!$C$5:$C$504,MATCH(C1886,'Cadastro Mestre'!$A$5:$A$504,0)),"código não encontrado"))</f>
        <v/>
      </c>
      <c r="E1886" s="24" t="str">
        <f aca="false">IF(C1886="","",IFERROR(INDEX('Cadastro Mestre'!$Q$5:$Q$504,MATCH(C1886,'Cadastro Mestre'!$A$5:$A$504,0)),""))</f>
        <v/>
      </c>
      <c r="F1886" s="21"/>
      <c r="G1886" s="21"/>
      <c r="H1886" s="21"/>
      <c r="I1886" s="21"/>
    </row>
    <row r="1887" customFormat="false" ht="15" hidden="false" customHeight="false" outlineLevel="0" collapsed="false">
      <c r="A1887" s="25"/>
      <c r="B1887" s="21"/>
      <c r="C1887" s="21"/>
      <c r="D1887" s="26" t="str">
        <f aca="false">IF(C1887="","",IFERROR(INDEX('Cadastro Mestre'!$C$5:$C$504,MATCH(C1887,'Cadastro Mestre'!$A$5:$A$504,0)),"código não encontrado"))</f>
        <v/>
      </c>
      <c r="E1887" s="24" t="str">
        <f aca="false">IF(C1887="","",IFERROR(INDEX('Cadastro Mestre'!$Q$5:$Q$504,MATCH(C1887,'Cadastro Mestre'!$A$5:$A$504,0)),""))</f>
        <v/>
      </c>
      <c r="F1887" s="21"/>
      <c r="G1887" s="21"/>
      <c r="H1887" s="21"/>
      <c r="I1887" s="21"/>
    </row>
    <row r="1888" customFormat="false" ht="15" hidden="false" customHeight="false" outlineLevel="0" collapsed="false">
      <c r="A1888" s="25"/>
      <c r="B1888" s="21"/>
      <c r="C1888" s="21"/>
      <c r="D1888" s="26" t="str">
        <f aca="false">IF(C1888="","",IFERROR(INDEX('Cadastro Mestre'!$C$5:$C$504,MATCH(C1888,'Cadastro Mestre'!$A$5:$A$504,0)),"código não encontrado"))</f>
        <v/>
      </c>
      <c r="E1888" s="24" t="str">
        <f aca="false">IF(C1888="","",IFERROR(INDEX('Cadastro Mestre'!$Q$5:$Q$504,MATCH(C1888,'Cadastro Mestre'!$A$5:$A$504,0)),""))</f>
        <v/>
      </c>
      <c r="F1888" s="21"/>
      <c r="G1888" s="21"/>
      <c r="H1888" s="21"/>
      <c r="I1888" s="21"/>
    </row>
    <row r="1889" customFormat="false" ht="15" hidden="false" customHeight="false" outlineLevel="0" collapsed="false">
      <c r="A1889" s="25"/>
      <c r="B1889" s="21"/>
      <c r="C1889" s="21"/>
      <c r="D1889" s="26" t="str">
        <f aca="false">IF(C1889="","",IFERROR(INDEX('Cadastro Mestre'!$C$5:$C$504,MATCH(C1889,'Cadastro Mestre'!$A$5:$A$504,0)),"código não encontrado"))</f>
        <v/>
      </c>
      <c r="E1889" s="24" t="str">
        <f aca="false">IF(C1889="","",IFERROR(INDEX('Cadastro Mestre'!$Q$5:$Q$504,MATCH(C1889,'Cadastro Mestre'!$A$5:$A$504,0)),""))</f>
        <v/>
      </c>
      <c r="F1889" s="21"/>
      <c r="G1889" s="21"/>
      <c r="H1889" s="21"/>
      <c r="I1889" s="21"/>
    </row>
    <row r="1890" customFormat="false" ht="15" hidden="false" customHeight="false" outlineLevel="0" collapsed="false">
      <c r="A1890" s="25"/>
      <c r="B1890" s="21"/>
      <c r="C1890" s="21"/>
      <c r="D1890" s="26" t="str">
        <f aca="false">IF(C1890="","",IFERROR(INDEX('Cadastro Mestre'!$C$5:$C$504,MATCH(C1890,'Cadastro Mestre'!$A$5:$A$504,0)),"código não encontrado"))</f>
        <v/>
      </c>
      <c r="E1890" s="24" t="str">
        <f aca="false">IF(C1890="","",IFERROR(INDEX('Cadastro Mestre'!$Q$5:$Q$504,MATCH(C1890,'Cadastro Mestre'!$A$5:$A$504,0)),""))</f>
        <v/>
      </c>
      <c r="F1890" s="21"/>
      <c r="G1890" s="21"/>
      <c r="H1890" s="21"/>
      <c r="I1890" s="21"/>
    </row>
    <row r="1891" customFormat="false" ht="15" hidden="false" customHeight="false" outlineLevel="0" collapsed="false">
      <c r="A1891" s="25"/>
      <c r="B1891" s="21"/>
      <c r="C1891" s="21"/>
      <c r="D1891" s="26" t="str">
        <f aca="false">IF(C1891="","",IFERROR(INDEX('Cadastro Mestre'!$C$5:$C$504,MATCH(C1891,'Cadastro Mestre'!$A$5:$A$504,0)),"código não encontrado"))</f>
        <v/>
      </c>
      <c r="E1891" s="24" t="str">
        <f aca="false">IF(C1891="","",IFERROR(INDEX('Cadastro Mestre'!$Q$5:$Q$504,MATCH(C1891,'Cadastro Mestre'!$A$5:$A$504,0)),""))</f>
        <v/>
      </c>
      <c r="F1891" s="21"/>
      <c r="G1891" s="21"/>
      <c r="H1891" s="21"/>
      <c r="I1891" s="21"/>
    </row>
    <row r="1892" customFormat="false" ht="15" hidden="false" customHeight="false" outlineLevel="0" collapsed="false">
      <c r="A1892" s="25"/>
      <c r="B1892" s="21"/>
      <c r="C1892" s="21"/>
      <c r="D1892" s="26" t="str">
        <f aca="false">IF(C1892="","",IFERROR(INDEX('Cadastro Mestre'!$C$5:$C$504,MATCH(C1892,'Cadastro Mestre'!$A$5:$A$504,0)),"código não encontrado"))</f>
        <v/>
      </c>
      <c r="E1892" s="24" t="str">
        <f aca="false">IF(C1892="","",IFERROR(INDEX('Cadastro Mestre'!$Q$5:$Q$504,MATCH(C1892,'Cadastro Mestre'!$A$5:$A$504,0)),""))</f>
        <v/>
      </c>
      <c r="F1892" s="21"/>
      <c r="G1892" s="21"/>
      <c r="H1892" s="21"/>
      <c r="I1892" s="21"/>
    </row>
    <row r="1893" customFormat="false" ht="15" hidden="false" customHeight="false" outlineLevel="0" collapsed="false">
      <c r="A1893" s="25"/>
      <c r="B1893" s="21"/>
      <c r="C1893" s="21"/>
      <c r="D1893" s="26" t="str">
        <f aca="false">IF(C1893="","",IFERROR(INDEX('Cadastro Mestre'!$C$5:$C$504,MATCH(C1893,'Cadastro Mestre'!$A$5:$A$504,0)),"código não encontrado"))</f>
        <v/>
      </c>
      <c r="E1893" s="24" t="str">
        <f aca="false">IF(C1893="","",IFERROR(INDEX('Cadastro Mestre'!$Q$5:$Q$504,MATCH(C1893,'Cadastro Mestre'!$A$5:$A$504,0)),""))</f>
        <v/>
      </c>
      <c r="F1893" s="21"/>
      <c r="G1893" s="21"/>
      <c r="H1893" s="21"/>
      <c r="I1893" s="21"/>
    </row>
    <row r="1894" customFormat="false" ht="15" hidden="false" customHeight="false" outlineLevel="0" collapsed="false">
      <c r="A1894" s="25"/>
      <c r="B1894" s="21"/>
      <c r="C1894" s="21"/>
      <c r="D1894" s="26" t="str">
        <f aca="false">IF(C1894="","",IFERROR(INDEX('Cadastro Mestre'!$C$5:$C$504,MATCH(C1894,'Cadastro Mestre'!$A$5:$A$504,0)),"código não encontrado"))</f>
        <v/>
      </c>
      <c r="E1894" s="24" t="str">
        <f aca="false">IF(C1894="","",IFERROR(INDEX('Cadastro Mestre'!$Q$5:$Q$504,MATCH(C1894,'Cadastro Mestre'!$A$5:$A$504,0)),""))</f>
        <v/>
      </c>
      <c r="F1894" s="21"/>
      <c r="G1894" s="21"/>
      <c r="H1894" s="21"/>
      <c r="I1894" s="21"/>
    </row>
    <row r="1895" customFormat="false" ht="15" hidden="false" customHeight="false" outlineLevel="0" collapsed="false">
      <c r="A1895" s="25"/>
      <c r="B1895" s="21"/>
      <c r="C1895" s="21"/>
      <c r="D1895" s="26" t="str">
        <f aca="false">IF(C1895="","",IFERROR(INDEX('Cadastro Mestre'!$C$5:$C$504,MATCH(C1895,'Cadastro Mestre'!$A$5:$A$504,0)),"código não encontrado"))</f>
        <v/>
      </c>
      <c r="E1895" s="24" t="str">
        <f aca="false">IF(C1895="","",IFERROR(INDEX('Cadastro Mestre'!$Q$5:$Q$504,MATCH(C1895,'Cadastro Mestre'!$A$5:$A$504,0)),""))</f>
        <v/>
      </c>
      <c r="F1895" s="21"/>
      <c r="G1895" s="21"/>
      <c r="H1895" s="21"/>
      <c r="I1895" s="21"/>
    </row>
    <row r="1896" customFormat="false" ht="15" hidden="false" customHeight="false" outlineLevel="0" collapsed="false">
      <c r="A1896" s="25"/>
      <c r="B1896" s="21"/>
      <c r="C1896" s="21"/>
      <c r="D1896" s="26" t="str">
        <f aca="false">IF(C1896="","",IFERROR(INDEX('Cadastro Mestre'!$C$5:$C$504,MATCH(C1896,'Cadastro Mestre'!$A$5:$A$504,0)),"código não encontrado"))</f>
        <v/>
      </c>
      <c r="E1896" s="24" t="str">
        <f aca="false">IF(C1896="","",IFERROR(INDEX('Cadastro Mestre'!$Q$5:$Q$504,MATCH(C1896,'Cadastro Mestre'!$A$5:$A$504,0)),""))</f>
        <v/>
      </c>
      <c r="F1896" s="21"/>
      <c r="G1896" s="21"/>
      <c r="H1896" s="21"/>
      <c r="I1896" s="21"/>
    </row>
    <row r="1897" customFormat="false" ht="15" hidden="false" customHeight="false" outlineLevel="0" collapsed="false">
      <c r="A1897" s="25"/>
      <c r="B1897" s="21"/>
      <c r="C1897" s="21"/>
      <c r="D1897" s="26" t="str">
        <f aca="false">IF(C1897="","",IFERROR(INDEX('Cadastro Mestre'!$C$5:$C$504,MATCH(C1897,'Cadastro Mestre'!$A$5:$A$504,0)),"código não encontrado"))</f>
        <v/>
      </c>
      <c r="E1897" s="24" t="str">
        <f aca="false">IF(C1897="","",IFERROR(INDEX('Cadastro Mestre'!$Q$5:$Q$504,MATCH(C1897,'Cadastro Mestre'!$A$5:$A$504,0)),""))</f>
        <v/>
      </c>
      <c r="F1897" s="21"/>
      <c r="G1897" s="21"/>
      <c r="H1897" s="21"/>
      <c r="I1897" s="21"/>
    </row>
    <row r="1898" customFormat="false" ht="15" hidden="false" customHeight="false" outlineLevel="0" collapsed="false">
      <c r="A1898" s="25"/>
      <c r="B1898" s="21"/>
      <c r="C1898" s="21"/>
      <c r="D1898" s="26" t="str">
        <f aca="false">IF(C1898="","",IFERROR(INDEX('Cadastro Mestre'!$C$5:$C$504,MATCH(C1898,'Cadastro Mestre'!$A$5:$A$504,0)),"código não encontrado"))</f>
        <v/>
      </c>
      <c r="E1898" s="24" t="str">
        <f aca="false">IF(C1898="","",IFERROR(INDEX('Cadastro Mestre'!$Q$5:$Q$504,MATCH(C1898,'Cadastro Mestre'!$A$5:$A$504,0)),""))</f>
        <v/>
      </c>
      <c r="F1898" s="21"/>
      <c r="G1898" s="21"/>
      <c r="H1898" s="21"/>
      <c r="I1898" s="21"/>
    </row>
    <row r="1899" customFormat="false" ht="15" hidden="false" customHeight="false" outlineLevel="0" collapsed="false">
      <c r="A1899" s="25"/>
      <c r="B1899" s="21"/>
      <c r="C1899" s="21"/>
      <c r="D1899" s="26" t="str">
        <f aca="false">IF(C1899="","",IFERROR(INDEX('Cadastro Mestre'!$C$5:$C$504,MATCH(C1899,'Cadastro Mestre'!$A$5:$A$504,0)),"código não encontrado"))</f>
        <v/>
      </c>
      <c r="E1899" s="24" t="str">
        <f aca="false">IF(C1899="","",IFERROR(INDEX('Cadastro Mestre'!$Q$5:$Q$504,MATCH(C1899,'Cadastro Mestre'!$A$5:$A$504,0)),""))</f>
        <v/>
      </c>
      <c r="F1899" s="21"/>
      <c r="G1899" s="21"/>
      <c r="H1899" s="21"/>
      <c r="I1899" s="21"/>
    </row>
    <row r="1900" customFormat="false" ht="15" hidden="false" customHeight="false" outlineLevel="0" collapsed="false">
      <c r="A1900" s="25"/>
      <c r="B1900" s="21"/>
      <c r="C1900" s="21"/>
      <c r="D1900" s="26" t="str">
        <f aca="false">IF(C1900="","",IFERROR(INDEX('Cadastro Mestre'!$C$5:$C$504,MATCH(C1900,'Cadastro Mestre'!$A$5:$A$504,0)),"código não encontrado"))</f>
        <v/>
      </c>
      <c r="E1900" s="24" t="str">
        <f aca="false">IF(C1900="","",IFERROR(INDEX('Cadastro Mestre'!$Q$5:$Q$504,MATCH(C1900,'Cadastro Mestre'!$A$5:$A$504,0)),""))</f>
        <v/>
      </c>
      <c r="F1900" s="21"/>
      <c r="G1900" s="21"/>
      <c r="H1900" s="21"/>
      <c r="I1900" s="21"/>
    </row>
    <row r="1901" customFormat="false" ht="15" hidden="false" customHeight="false" outlineLevel="0" collapsed="false">
      <c r="A1901" s="25"/>
      <c r="B1901" s="21"/>
      <c r="C1901" s="21"/>
      <c r="D1901" s="26" t="str">
        <f aca="false">IF(C1901="","",IFERROR(INDEX('Cadastro Mestre'!$C$5:$C$504,MATCH(C1901,'Cadastro Mestre'!$A$5:$A$504,0)),"código não encontrado"))</f>
        <v/>
      </c>
      <c r="E1901" s="24" t="str">
        <f aca="false">IF(C1901="","",IFERROR(INDEX('Cadastro Mestre'!$Q$5:$Q$504,MATCH(C1901,'Cadastro Mestre'!$A$5:$A$504,0)),""))</f>
        <v/>
      </c>
      <c r="F1901" s="21"/>
      <c r="G1901" s="21"/>
      <c r="H1901" s="21"/>
      <c r="I1901" s="21"/>
    </row>
    <row r="1902" customFormat="false" ht="15" hidden="false" customHeight="false" outlineLevel="0" collapsed="false">
      <c r="A1902" s="25"/>
      <c r="B1902" s="21"/>
      <c r="C1902" s="21"/>
      <c r="D1902" s="26" t="str">
        <f aca="false">IF(C1902="","",IFERROR(INDEX('Cadastro Mestre'!$C$5:$C$504,MATCH(C1902,'Cadastro Mestre'!$A$5:$A$504,0)),"código não encontrado"))</f>
        <v/>
      </c>
      <c r="E1902" s="24" t="str">
        <f aca="false">IF(C1902="","",IFERROR(INDEX('Cadastro Mestre'!$Q$5:$Q$504,MATCH(C1902,'Cadastro Mestre'!$A$5:$A$504,0)),""))</f>
        <v/>
      </c>
      <c r="F1902" s="21"/>
      <c r="G1902" s="21"/>
      <c r="H1902" s="21"/>
      <c r="I1902" s="21"/>
    </row>
    <row r="1903" customFormat="false" ht="15" hidden="false" customHeight="false" outlineLevel="0" collapsed="false">
      <c r="A1903" s="25"/>
      <c r="B1903" s="21"/>
      <c r="C1903" s="21"/>
      <c r="D1903" s="26" t="str">
        <f aca="false">IF(C1903="","",IFERROR(INDEX('Cadastro Mestre'!$C$5:$C$504,MATCH(C1903,'Cadastro Mestre'!$A$5:$A$504,0)),"código não encontrado"))</f>
        <v/>
      </c>
      <c r="E1903" s="24" t="str">
        <f aca="false">IF(C1903="","",IFERROR(INDEX('Cadastro Mestre'!$Q$5:$Q$504,MATCH(C1903,'Cadastro Mestre'!$A$5:$A$504,0)),""))</f>
        <v/>
      </c>
      <c r="F1903" s="21"/>
      <c r="G1903" s="21"/>
      <c r="H1903" s="21"/>
      <c r="I1903" s="21"/>
    </row>
    <row r="1904" customFormat="false" ht="15" hidden="false" customHeight="false" outlineLevel="0" collapsed="false">
      <c r="A1904" s="25"/>
      <c r="B1904" s="21"/>
      <c r="C1904" s="21"/>
      <c r="D1904" s="26" t="str">
        <f aca="false">IF(C1904="","",IFERROR(INDEX('Cadastro Mestre'!$C$5:$C$504,MATCH(C1904,'Cadastro Mestre'!$A$5:$A$504,0)),"código não encontrado"))</f>
        <v/>
      </c>
      <c r="E1904" s="24" t="str">
        <f aca="false">IF(C1904="","",IFERROR(INDEX('Cadastro Mestre'!$Q$5:$Q$504,MATCH(C1904,'Cadastro Mestre'!$A$5:$A$504,0)),""))</f>
        <v/>
      </c>
      <c r="F1904" s="21"/>
      <c r="G1904" s="21"/>
      <c r="H1904" s="21"/>
      <c r="I1904" s="21"/>
    </row>
    <row r="1905" customFormat="false" ht="15" hidden="false" customHeight="false" outlineLevel="0" collapsed="false">
      <c r="A1905" s="25"/>
      <c r="B1905" s="21"/>
      <c r="C1905" s="21"/>
      <c r="D1905" s="26" t="str">
        <f aca="false">IF(C1905="","",IFERROR(INDEX('Cadastro Mestre'!$C$5:$C$504,MATCH(C1905,'Cadastro Mestre'!$A$5:$A$504,0)),"código não encontrado"))</f>
        <v/>
      </c>
      <c r="E1905" s="24" t="str">
        <f aca="false">IF(C1905="","",IFERROR(INDEX('Cadastro Mestre'!$Q$5:$Q$504,MATCH(C1905,'Cadastro Mestre'!$A$5:$A$504,0)),""))</f>
        <v/>
      </c>
      <c r="F1905" s="21"/>
      <c r="G1905" s="21"/>
      <c r="H1905" s="21"/>
      <c r="I1905" s="21"/>
    </row>
    <row r="1906" customFormat="false" ht="15" hidden="false" customHeight="false" outlineLevel="0" collapsed="false">
      <c r="A1906" s="25"/>
      <c r="B1906" s="21"/>
      <c r="C1906" s="21"/>
      <c r="D1906" s="26" t="str">
        <f aca="false">IF(C1906="","",IFERROR(INDEX('Cadastro Mestre'!$C$5:$C$504,MATCH(C1906,'Cadastro Mestre'!$A$5:$A$504,0)),"código não encontrado"))</f>
        <v/>
      </c>
      <c r="E1906" s="24" t="str">
        <f aca="false">IF(C1906="","",IFERROR(INDEX('Cadastro Mestre'!$Q$5:$Q$504,MATCH(C1906,'Cadastro Mestre'!$A$5:$A$504,0)),""))</f>
        <v/>
      </c>
      <c r="F1906" s="21"/>
      <c r="G1906" s="21"/>
      <c r="H1906" s="21"/>
      <c r="I1906" s="21"/>
    </row>
    <row r="1907" customFormat="false" ht="15" hidden="false" customHeight="false" outlineLevel="0" collapsed="false">
      <c r="A1907" s="25"/>
      <c r="B1907" s="21"/>
      <c r="C1907" s="21"/>
      <c r="D1907" s="26" t="str">
        <f aca="false">IF(C1907="","",IFERROR(INDEX('Cadastro Mestre'!$C$5:$C$504,MATCH(C1907,'Cadastro Mestre'!$A$5:$A$504,0)),"código não encontrado"))</f>
        <v/>
      </c>
      <c r="E1907" s="24" t="str">
        <f aca="false">IF(C1907="","",IFERROR(INDEX('Cadastro Mestre'!$Q$5:$Q$504,MATCH(C1907,'Cadastro Mestre'!$A$5:$A$504,0)),""))</f>
        <v/>
      </c>
      <c r="F1907" s="21"/>
      <c r="G1907" s="21"/>
      <c r="H1907" s="21"/>
      <c r="I1907" s="21"/>
    </row>
    <row r="1908" customFormat="false" ht="15" hidden="false" customHeight="false" outlineLevel="0" collapsed="false">
      <c r="A1908" s="25"/>
      <c r="B1908" s="21"/>
      <c r="C1908" s="21"/>
      <c r="D1908" s="26" t="str">
        <f aca="false">IF(C1908="","",IFERROR(INDEX('Cadastro Mestre'!$C$5:$C$504,MATCH(C1908,'Cadastro Mestre'!$A$5:$A$504,0)),"código não encontrado"))</f>
        <v/>
      </c>
      <c r="E1908" s="24" t="str">
        <f aca="false">IF(C1908="","",IFERROR(INDEX('Cadastro Mestre'!$Q$5:$Q$504,MATCH(C1908,'Cadastro Mestre'!$A$5:$A$504,0)),""))</f>
        <v/>
      </c>
      <c r="F1908" s="21"/>
      <c r="G1908" s="21"/>
      <c r="H1908" s="21"/>
      <c r="I1908" s="21"/>
    </row>
    <row r="1909" customFormat="false" ht="15" hidden="false" customHeight="false" outlineLevel="0" collapsed="false">
      <c r="A1909" s="25"/>
      <c r="B1909" s="21"/>
      <c r="C1909" s="21"/>
      <c r="D1909" s="26" t="str">
        <f aca="false">IF(C1909="","",IFERROR(INDEX('Cadastro Mestre'!$C$5:$C$504,MATCH(C1909,'Cadastro Mestre'!$A$5:$A$504,0)),"código não encontrado"))</f>
        <v/>
      </c>
      <c r="E1909" s="24" t="str">
        <f aca="false">IF(C1909="","",IFERROR(INDEX('Cadastro Mestre'!$Q$5:$Q$504,MATCH(C1909,'Cadastro Mestre'!$A$5:$A$504,0)),""))</f>
        <v/>
      </c>
      <c r="F1909" s="21"/>
      <c r="G1909" s="21"/>
      <c r="H1909" s="21"/>
      <c r="I1909" s="21"/>
    </row>
    <row r="1910" customFormat="false" ht="15" hidden="false" customHeight="false" outlineLevel="0" collapsed="false">
      <c r="A1910" s="25"/>
      <c r="B1910" s="21"/>
      <c r="C1910" s="21"/>
      <c r="D1910" s="26" t="str">
        <f aca="false">IF(C1910="","",IFERROR(INDEX('Cadastro Mestre'!$C$5:$C$504,MATCH(C1910,'Cadastro Mestre'!$A$5:$A$504,0)),"código não encontrado"))</f>
        <v/>
      </c>
      <c r="E1910" s="24" t="str">
        <f aca="false">IF(C1910="","",IFERROR(INDEX('Cadastro Mestre'!$Q$5:$Q$504,MATCH(C1910,'Cadastro Mestre'!$A$5:$A$504,0)),""))</f>
        <v/>
      </c>
      <c r="F1910" s="21"/>
      <c r="G1910" s="21"/>
      <c r="H1910" s="21"/>
      <c r="I1910" s="21"/>
    </row>
    <row r="1911" customFormat="false" ht="15" hidden="false" customHeight="false" outlineLevel="0" collapsed="false">
      <c r="A1911" s="25"/>
      <c r="B1911" s="21"/>
      <c r="C1911" s="21"/>
      <c r="D1911" s="26" t="str">
        <f aca="false">IF(C1911="","",IFERROR(INDEX('Cadastro Mestre'!$C$5:$C$504,MATCH(C1911,'Cadastro Mestre'!$A$5:$A$504,0)),"código não encontrado"))</f>
        <v/>
      </c>
      <c r="E1911" s="24" t="str">
        <f aca="false">IF(C1911="","",IFERROR(INDEX('Cadastro Mestre'!$Q$5:$Q$504,MATCH(C1911,'Cadastro Mestre'!$A$5:$A$504,0)),""))</f>
        <v/>
      </c>
      <c r="F1911" s="21"/>
      <c r="G1911" s="21"/>
      <c r="H1911" s="21"/>
      <c r="I1911" s="21"/>
    </row>
    <row r="1912" customFormat="false" ht="15" hidden="false" customHeight="false" outlineLevel="0" collapsed="false">
      <c r="A1912" s="25"/>
      <c r="B1912" s="21"/>
      <c r="C1912" s="21"/>
      <c r="D1912" s="26" t="str">
        <f aca="false">IF(C1912="","",IFERROR(INDEX('Cadastro Mestre'!$C$5:$C$504,MATCH(C1912,'Cadastro Mestre'!$A$5:$A$504,0)),"código não encontrado"))</f>
        <v/>
      </c>
      <c r="E1912" s="24" t="str">
        <f aca="false">IF(C1912="","",IFERROR(INDEX('Cadastro Mestre'!$Q$5:$Q$504,MATCH(C1912,'Cadastro Mestre'!$A$5:$A$504,0)),""))</f>
        <v/>
      </c>
      <c r="F1912" s="21"/>
      <c r="G1912" s="21"/>
      <c r="H1912" s="21"/>
      <c r="I1912" s="21"/>
    </row>
    <row r="1913" customFormat="false" ht="15" hidden="false" customHeight="false" outlineLevel="0" collapsed="false">
      <c r="A1913" s="25"/>
      <c r="B1913" s="21"/>
      <c r="C1913" s="21"/>
      <c r="D1913" s="26" t="str">
        <f aca="false">IF(C1913="","",IFERROR(INDEX('Cadastro Mestre'!$C$5:$C$504,MATCH(C1913,'Cadastro Mestre'!$A$5:$A$504,0)),"código não encontrado"))</f>
        <v/>
      </c>
      <c r="E1913" s="24" t="str">
        <f aca="false">IF(C1913="","",IFERROR(INDEX('Cadastro Mestre'!$Q$5:$Q$504,MATCH(C1913,'Cadastro Mestre'!$A$5:$A$504,0)),""))</f>
        <v/>
      </c>
      <c r="F1913" s="21"/>
      <c r="G1913" s="21"/>
      <c r="H1913" s="21"/>
      <c r="I1913" s="21"/>
    </row>
    <row r="1914" customFormat="false" ht="15" hidden="false" customHeight="false" outlineLevel="0" collapsed="false">
      <c r="A1914" s="25"/>
      <c r="B1914" s="21"/>
      <c r="C1914" s="21"/>
      <c r="D1914" s="26" t="str">
        <f aca="false">IF(C1914="","",IFERROR(INDEX('Cadastro Mestre'!$C$5:$C$504,MATCH(C1914,'Cadastro Mestre'!$A$5:$A$504,0)),"código não encontrado"))</f>
        <v/>
      </c>
      <c r="E1914" s="24" t="str">
        <f aca="false">IF(C1914="","",IFERROR(INDEX('Cadastro Mestre'!$Q$5:$Q$504,MATCH(C1914,'Cadastro Mestre'!$A$5:$A$504,0)),""))</f>
        <v/>
      </c>
      <c r="F1914" s="21"/>
      <c r="G1914" s="21"/>
      <c r="H1914" s="21"/>
      <c r="I1914" s="21"/>
    </row>
    <row r="1915" customFormat="false" ht="15" hidden="false" customHeight="false" outlineLevel="0" collapsed="false">
      <c r="A1915" s="25"/>
      <c r="B1915" s="21"/>
      <c r="C1915" s="21"/>
      <c r="D1915" s="26" t="str">
        <f aca="false">IF(C1915="","",IFERROR(INDEX('Cadastro Mestre'!$C$5:$C$504,MATCH(C1915,'Cadastro Mestre'!$A$5:$A$504,0)),"código não encontrado"))</f>
        <v/>
      </c>
      <c r="E1915" s="24" t="str">
        <f aca="false">IF(C1915="","",IFERROR(INDEX('Cadastro Mestre'!$Q$5:$Q$504,MATCH(C1915,'Cadastro Mestre'!$A$5:$A$504,0)),""))</f>
        <v/>
      </c>
      <c r="F1915" s="21"/>
      <c r="G1915" s="21"/>
      <c r="H1915" s="21"/>
      <c r="I1915" s="21"/>
    </row>
    <row r="1916" customFormat="false" ht="15" hidden="false" customHeight="false" outlineLevel="0" collapsed="false">
      <c r="A1916" s="25"/>
      <c r="B1916" s="21"/>
      <c r="C1916" s="21"/>
      <c r="D1916" s="26" t="str">
        <f aca="false">IF(C1916="","",IFERROR(INDEX('Cadastro Mestre'!$C$5:$C$504,MATCH(C1916,'Cadastro Mestre'!$A$5:$A$504,0)),"código não encontrado"))</f>
        <v/>
      </c>
      <c r="E1916" s="24" t="str">
        <f aca="false">IF(C1916="","",IFERROR(INDEX('Cadastro Mestre'!$Q$5:$Q$504,MATCH(C1916,'Cadastro Mestre'!$A$5:$A$504,0)),""))</f>
        <v/>
      </c>
      <c r="F1916" s="21"/>
      <c r="G1916" s="21"/>
      <c r="H1916" s="21"/>
      <c r="I1916" s="21"/>
    </row>
    <row r="1917" customFormat="false" ht="15" hidden="false" customHeight="false" outlineLevel="0" collapsed="false">
      <c r="A1917" s="25"/>
      <c r="B1917" s="21"/>
      <c r="C1917" s="21"/>
      <c r="D1917" s="26" t="str">
        <f aca="false">IF(C1917="","",IFERROR(INDEX('Cadastro Mestre'!$C$5:$C$504,MATCH(C1917,'Cadastro Mestre'!$A$5:$A$504,0)),"código não encontrado"))</f>
        <v/>
      </c>
      <c r="E1917" s="24" t="str">
        <f aca="false">IF(C1917="","",IFERROR(INDEX('Cadastro Mestre'!$Q$5:$Q$504,MATCH(C1917,'Cadastro Mestre'!$A$5:$A$504,0)),""))</f>
        <v/>
      </c>
      <c r="F1917" s="21"/>
      <c r="G1917" s="21"/>
      <c r="H1917" s="21"/>
      <c r="I1917" s="21"/>
    </row>
    <row r="1918" customFormat="false" ht="15" hidden="false" customHeight="false" outlineLevel="0" collapsed="false">
      <c r="A1918" s="25"/>
      <c r="B1918" s="21"/>
      <c r="C1918" s="21"/>
      <c r="D1918" s="26" t="str">
        <f aca="false">IF(C1918="","",IFERROR(INDEX('Cadastro Mestre'!$C$5:$C$504,MATCH(C1918,'Cadastro Mestre'!$A$5:$A$504,0)),"código não encontrado"))</f>
        <v/>
      </c>
      <c r="E1918" s="24" t="str">
        <f aca="false">IF(C1918="","",IFERROR(INDEX('Cadastro Mestre'!$Q$5:$Q$504,MATCH(C1918,'Cadastro Mestre'!$A$5:$A$504,0)),""))</f>
        <v/>
      </c>
      <c r="F1918" s="21"/>
      <c r="G1918" s="21"/>
      <c r="H1918" s="21"/>
      <c r="I1918" s="21"/>
    </row>
    <row r="1919" customFormat="false" ht="15" hidden="false" customHeight="false" outlineLevel="0" collapsed="false">
      <c r="A1919" s="25"/>
      <c r="B1919" s="21"/>
      <c r="C1919" s="21"/>
      <c r="D1919" s="26" t="str">
        <f aca="false">IF(C1919="","",IFERROR(INDEX('Cadastro Mestre'!$C$5:$C$504,MATCH(C1919,'Cadastro Mestre'!$A$5:$A$504,0)),"código não encontrado"))</f>
        <v/>
      </c>
      <c r="E1919" s="24" t="str">
        <f aca="false">IF(C1919="","",IFERROR(INDEX('Cadastro Mestre'!$Q$5:$Q$504,MATCH(C1919,'Cadastro Mestre'!$A$5:$A$504,0)),""))</f>
        <v/>
      </c>
      <c r="F1919" s="21"/>
      <c r="G1919" s="21"/>
      <c r="H1919" s="21"/>
      <c r="I1919" s="21"/>
    </row>
    <row r="1920" customFormat="false" ht="15" hidden="false" customHeight="false" outlineLevel="0" collapsed="false">
      <c r="A1920" s="25"/>
      <c r="B1920" s="21"/>
      <c r="C1920" s="21"/>
      <c r="D1920" s="26" t="str">
        <f aca="false">IF(C1920="","",IFERROR(INDEX('Cadastro Mestre'!$C$5:$C$504,MATCH(C1920,'Cadastro Mestre'!$A$5:$A$504,0)),"código não encontrado"))</f>
        <v/>
      </c>
      <c r="E1920" s="24" t="str">
        <f aca="false">IF(C1920="","",IFERROR(INDEX('Cadastro Mestre'!$Q$5:$Q$504,MATCH(C1920,'Cadastro Mestre'!$A$5:$A$504,0)),""))</f>
        <v/>
      </c>
      <c r="F1920" s="21"/>
      <c r="G1920" s="21"/>
      <c r="H1920" s="21"/>
      <c r="I1920" s="21"/>
    </row>
    <row r="1921" customFormat="false" ht="15" hidden="false" customHeight="false" outlineLevel="0" collapsed="false">
      <c r="A1921" s="25"/>
      <c r="B1921" s="21"/>
      <c r="C1921" s="21"/>
      <c r="D1921" s="26" t="str">
        <f aca="false">IF(C1921="","",IFERROR(INDEX('Cadastro Mestre'!$C$5:$C$504,MATCH(C1921,'Cadastro Mestre'!$A$5:$A$504,0)),"código não encontrado"))</f>
        <v/>
      </c>
      <c r="E1921" s="24" t="str">
        <f aca="false">IF(C1921="","",IFERROR(INDEX('Cadastro Mestre'!$Q$5:$Q$504,MATCH(C1921,'Cadastro Mestre'!$A$5:$A$504,0)),""))</f>
        <v/>
      </c>
      <c r="F1921" s="21"/>
      <c r="G1921" s="21"/>
      <c r="H1921" s="21"/>
      <c r="I1921" s="21"/>
    </row>
    <row r="1922" customFormat="false" ht="15" hidden="false" customHeight="false" outlineLevel="0" collapsed="false">
      <c r="A1922" s="25"/>
      <c r="B1922" s="21"/>
      <c r="C1922" s="21"/>
      <c r="D1922" s="26" t="str">
        <f aca="false">IF(C1922="","",IFERROR(INDEX('Cadastro Mestre'!$C$5:$C$504,MATCH(C1922,'Cadastro Mestre'!$A$5:$A$504,0)),"código não encontrado"))</f>
        <v/>
      </c>
      <c r="E1922" s="24" t="str">
        <f aca="false">IF(C1922="","",IFERROR(INDEX('Cadastro Mestre'!$Q$5:$Q$504,MATCH(C1922,'Cadastro Mestre'!$A$5:$A$504,0)),""))</f>
        <v/>
      </c>
      <c r="F1922" s="21"/>
      <c r="G1922" s="21"/>
      <c r="H1922" s="21"/>
      <c r="I1922" s="21"/>
    </row>
    <row r="1923" customFormat="false" ht="15" hidden="false" customHeight="false" outlineLevel="0" collapsed="false">
      <c r="A1923" s="25"/>
      <c r="B1923" s="21"/>
      <c r="C1923" s="21"/>
      <c r="D1923" s="26" t="str">
        <f aca="false">IF(C1923="","",IFERROR(INDEX('Cadastro Mestre'!$C$5:$C$504,MATCH(C1923,'Cadastro Mestre'!$A$5:$A$504,0)),"código não encontrado"))</f>
        <v/>
      </c>
      <c r="E1923" s="24" t="str">
        <f aca="false">IF(C1923="","",IFERROR(INDEX('Cadastro Mestre'!$Q$5:$Q$504,MATCH(C1923,'Cadastro Mestre'!$A$5:$A$504,0)),""))</f>
        <v/>
      </c>
      <c r="F1923" s="21"/>
      <c r="G1923" s="21"/>
      <c r="H1923" s="21"/>
      <c r="I1923" s="21"/>
    </row>
    <row r="1924" customFormat="false" ht="15" hidden="false" customHeight="false" outlineLevel="0" collapsed="false">
      <c r="A1924" s="25"/>
      <c r="B1924" s="21"/>
      <c r="C1924" s="21"/>
      <c r="D1924" s="26" t="str">
        <f aca="false">IF(C1924="","",IFERROR(INDEX('Cadastro Mestre'!$C$5:$C$504,MATCH(C1924,'Cadastro Mestre'!$A$5:$A$504,0)),"código não encontrado"))</f>
        <v/>
      </c>
      <c r="E1924" s="24" t="str">
        <f aca="false">IF(C1924="","",IFERROR(INDEX('Cadastro Mestre'!$Q$5:$Q$504,MATCH(C1924,'Cadastro Mestre'!$A$5:$A$504,0)),""))</f>
        <v/>
      </c>
      <c r="F1924" s="21"/>
      <c r="G1924" s="21"/>
      <c r="H1924" s="21"/>
      <c r="I1924" s="21"/>
    </row>
    <row r="1925" customFormat="false" ht="15" hidden="false" customHeight="false" outlineLevel="0" collapsed="false">
      <c r="A1925" s="25"/>
      <c r="B1925" s="21"/>
      <c r="C1925" s="21"/>
      <c r="D1925" s="26" t="str">
        <f aca="false">IF(C1925="","",IFERROR(INDEX('Cadastro Mestre'!$C$5:$C$504,MATCH(C1925,'Cadastro Mestre'!$A$5:$A$504,0)),"código não encontrado"))</f>
        <v/>
      </c>
      <c r="E1925" s="24" t="str">
        <f aca="false">IF(C1925="","",IFERROR(INDEX('Cadastro Mestre'!$Q$5:$Q$504,MATCH(C1925,'Cadastro Mestre'!$A$5:$A$504,0)),""))</f>
        <v/>
      </c>
      <c r="F1925" s="21"/>
      <c r="G1925" s="21"/>
      <c r="H1925" s="21"/>
      <c r="I1925" s="21"/>
    </row>
    <row r="1926" customFormat="false" ht="15" hidden="false" customHeight="false" outlineLevel="0" collapsed="false">
      <c r="A1926" s="25"/>
      <c r="B1926" s="21"/>
      <c r="C1926" s="21"/>
      <c r="D1926" s="26" t="str">
        <f aca="false">IF(C1926="","",IFERROR(INDEX('Cadastro Mestre'!$C$5:$C$504,MATCH(C1926,'Cadastro Mestre'!$A$5:$A$504,0)),"código não encontrado"))</f>
        <v/>
      </c>
      <c r="E1926" s="24" t="str">
        <f aca="false">IF(C1926="","",IFERROR(INDEX('Cadastro Mestre'!$Q$5:$Q$504,MATCH(C1926,'Cadastro Mestre'!$A$5:$A$504,0)),""))</f>
        <v/>
      </c>
      <c r="F1926" s="21"/>
      <c r="G1926" s="21"/>
      <c r="H1926" s="21"/>
      <c r="I1926" s="21"/>
    </row>
    <row r="1927" customFormat="false" ht="15" hidden="false" customHeight="false" outlineLevel="0" collapsed="false">
      <c r="A1927" s="25"/>
      <c r="B1927" s="21"/>
      <c r="C1927" s="21"/>
      <c r="D1927" s="26" t="str">
        <f aca="false">IF(C1927="","",IFERROR(INDEX('Cadastro Mestre'!$C$5:$C$504,MATCH(C1927,'Cadastro Mestre'!$A$5:$A$504,0)),"código não encontrado"))</f>
        <v/>
      </c>
      <c r="E1927" s="24" t="str">
        <f aca="false">IF(C1927="","",IFERROR(INDEX('Cadastro Mestre'!$Q$5:$Q$504,MATCH(C1927,'Cadastro Mestre'!$A$5:$A$504,0)),""))</f>
        <v/>
      </c>
      <c r="F1927" s="21"/>
      <c r="G1927" s="21"/>
      <c r="H1927" s="21"/>
      <c r="I1927" s="21"/>
    </row>
    <row r="1928" customFormat="false" ht="15" hidden="false" customHeight="false" outlineLevel="0" collapsed="false">
      <c r="A1928" s="25"/>
      <c r="B1928" s="21"/>
      <c r="C1928" s="21"/>
      <c r="D1928" s="26" t="str">
        <f aca="false">IF(C1928="","",IFERROR(INDEX('Cadastro Mestre'!$C$5:$C$504,MATCH(C1928,'Cadastro Mestre'!$A$5:$A$504,0)),"código não encontrado"))</f>
        <v/>
      </c>
      <c r="E1928" s="24" t="str">
        <f aca="false">IF(C1928="","",IFERROR(INDEX('Cadastro Mestre'!$Q$5:$Q$504,MATCH(C1928,'Cadastro Mestre'!$A$5:$A$504,0)),""))</f>
        <v/>
      </c>
      <c r="F1928" s="21"/>
      <c r="G1928" s="21"/>
      <c r="H1928" s="21"/>
      <c r="I1928" s="21"/>
    </row>
    <row r="1929" customFormat="false" ht="15" hidden="false" customHeight="false" outlineLevel="0" collapsed="false">
      <c r="A1929" s="25"/>
      <c r="B1929" s="21"/>
      <c r="C1929" s="21"/>
      <c r="D1929" s="26" t="str">
        <f aca="false">IF(C1929="","",IFERROR(INDEX('Cadastro Mestre'!$C$5:$C$504,MATCH(C1929,'Cadastro Mestre'!$A$5:$A$504,0)),"código não encontrado"))</f>
        <v/>
      </c>
      <c r="E1929" s="24" t="str">
        <f aca="false">IF(C1929="","",IFERROR(INDEX('Cadastro Mestre'!$Q$5:$Q$504,MATCH(C1929,'Cadastro Mestre'!$A$5:$A$504,0)),""))</f>
        <v/>
      </c>
      <c r="F1929" s="21"/>
      <c r="G1929" s="21"/>
      <c r="H1929" s="21"/>
      <c r="I1929" s="21"/>
    </row>
    <row r="1930" customFormat="false" ht="15" hidden="false" customHeight="false" outlineLevel="0" collapsed="false">
      <c r="A1930" s="25"/>
      <c r="B1930" s="21"/>
      <c r="C1930" s="21"/>
      <c r="D1930" s="26" t="str">
        <f aca="false">IF(C1930="","",IFERROR(INDEX('Cadastro Mestre'!$C$5:$C$504,MATCH(C1930,'Cadastro Mestre'!$A$5:$A$504,0)),"código não encontrado"))</f>
        <v/>
      </c>
      <c r="E1930" s="24" t="str">
        <f aca="false">IF(C1930="","",IFERROR(INDEX('Cadastro Mestre'!$Q$5:$Q$504,MATCH(C1930,'Cadastro Mestre'!$A$5:$A$504,0)),""))</f>
        <v/>
      </c>
      <c r="F1930" s="21"/>
      <c r="G1930" s="21"/>
      <c r="H1930" s="21"/>
      <c r="I1930" s="21"/>
    </row>
    <row r="1931" customFormat="false" ht="15" hidden="false" customHeight="false" outlineLevel="0" collapsed="false">
      <c r="A1931" s="25"/>
      <c r="B1931" s="21"/>
      <c r="C1931" s="21"/>
      <c r="D1931" s="26" t="str">
        <f aca="false">IF(C1931="","",IFERROR(INDEX('Cadastro Mestre'!$C$5:$C$504,MATCH(C1931,'Cadastro Mestre'!$A$5:$A$504,0)),"código não encontrado"))</f>
        <v/>
      </c>
      <c r="E1931" s="24" t="str">
        <f aca="false">IF(C1931="","",IFERROR(INDEX('Cadastro Mestre'!$Q$5:$Q$504,MATCH(C1931,'Cadastro Mestre'!$A$5:$A$504,0)),""))</f>
        <v/>
      </c>
      <c r="F1931" s="21"/>
      <c r="G1931" s="21"/>
      <c r="H1931" s="21"/>
      <c r="I1931" s="21"/>
    </row>
    <row r="1932" customFormat="false" ht="15" hidden="false" customHeight="false" outlineLevel="0" collapsed="false">
      <c r="A1932" s="25"/>
      <c r="B1932" s="21"/>
      <c r="C1932" s="21"/>
      <c r="D1932" s="26" t="str">
        <f aca="false">IF(C1932="","",IFERROR(INDEX('Cadastro Mestre'!$C$5:$C$504,MATCH(C1932,'Cadastro Mestre'!$A$5:$A$504,0)),"código não encontrado"))</f>
        <v/>
      </c>
      <c r="E1932" s="24" t="str">
        <f aca="false">IF(C1932="","",IFERROR(INDEX('Cadastro Mestre'!$Q$5:$Q$504,MATCH(C1932,'Cadastro Mestre'!$A$5:$A$504,0)),""))</f>
        <v/>
      </c>
      <c r="F1932" s="21"/>
      <c r="G1932" s="21"/>
      <c r="H1932" s="21"/>
      <c r="I1932" s="21"/>
    </row>
    <row r="1933" customFormat="false" ht="15" hidden="false" customHeight="false" outlineLevel="0" collapsed="false">
      <c r="A1933" s="25"/>
      <c r="B1933" s="21"/>
      <c r="C1933" s="21"/>
      <c r="D1933" s="26" t="str">
        <f aca="false">IF(C1933="","",IFERROR(INDEX('Cadastro Mestre'!$C$5:$C$504,MATCH(C1933,'Cadastro Mestre'!$A$5:$A$504,0)),"código não encontrado"))</f>
        <v/>
      </c>
      <c r="E1933" s="24" t="str">
        <f aca="false">IF(C1933="","",IFERROR(INDEX('Cadastro Mestre'!$Q$5:$Q$504,MATCH(C1933,'Cadastro Mestre'!$A$5:$A$504,0)),""))</f>
        <v/>
      </c>
      <c r="F1933" s="21"/>
      <c r="G1933" s="21"/>
      <c r="H1933" s="21"/>
      <c r="I1933" s="21"/>
    </row>
    <row r="1934" customFormat="false" ht="15" hidden="false" customHeight="false" outlineLevel="0" collapsed="false">
      <c r="A1934" s="25"/>
      <c r="B1934" s="21"/>
      <c r="C1934" s="21"/>
      <c r="D1934" s="26" t="str">
        <f aca="false">IF(C1934="","",IFERROR(INDEX('Cadastro Mestre'!$C$5:$C$504,MATCH(C1934,'Cadastro Mestre'!$A$5:$A$504,0)),"código não encontrado"))</f>
        <v/>
      </c>
      <c r="E1934" s="24" t="str">
        <f aca="false">IF(C1934="","",IFERROR(INDEX('Cadastro Mestre'!$Q$5:$Q$504,MATCH(C1934,'Cadastro Mestre'!$A$5:$A$504,0)),""))</f>
        <v/>
      </c>
      <c r="F1934" s="21"/>
      <c r="G1934" s="21"/>
      <c r="H1934" s="21"/>
      <c r="I1934" s="21"/>
    </row>
    <row r="1935" customFormat="false" ht="15" hidden="false" customHeight="false" outlineLevel="0" collapsed="false">
      <c r="A1935" s="25"/>
      <c r="B1935" s="21"/>
      <c r="C1935" s="21"/>
      <c r="D1935" s="26" t="str">
        <f aca="false">IF(C1935="","",IFERROR(INDEX('Cadastro Mestre'!$C$5:$C$504,MATCH(C1935,'Cadastro Mestre'!$A$5:$A$504,0)),"código não encontrado"))</f>
        <v/>
      </c>
      <c r="E1935" s="24" t="str">
        <f aca="false">IF(C1935="","",IFERROR(INDEX('Cadastro Mestre'!$Q$5:$Q$504,MATCH(C1935,'Cadastro Mestre'!$A$5:$A$504,0)),""))</f>
        <v/>
      </c>
      <c r="F1935" s="21"/>
      <c r="G1935" s="21"/>
      <c r="H1935" s="21"/>
      <c r="I1935" s="21"/>
    </row>
    <row r="1936" customFormat="false" ht="15" hidden="false" customHeight="false" outlineLevel="0" collapsed="false">
      <c r="A1936" s="25"/>
      <c r="B1936" s="21"/>
      <c r="C1936" s="21"/>
      <c r="D1936" s="26" t="str">
        <f aca="false">IF(C1936="","",IFERROR(INDEX('Cadastro Mestre'!$C$5:$C$504,MATCH(C1936,'Cadastro Mestre'!$A$5:$A$504,0)),"código não encontrado"))</f>
        <v/>
      </c>
      <c r="E1936" s="24" t="str">
        <f aca="false">IF(C1936="","",IFERROR(INDEX('Cadastro Mestre'!$Q$5:$Q$504,MATCH(C1936,'Cadastro Mestre'!$A$5:$A$504,0)),""))</f>
        <v/>
      </c>
      <c r="F1936" s="21"/>
      <c r="G1936" s="21"/>
      <c r="H1936" s="21"/>
      <c r="I1936" s="21"/>
    </row>
    <row r="1937" customFormat="false" ht="15" hidden="false" customHeight="false" outlineLevel="0" collapsed="false">
      <c r="A1937" s="25"/>
      <c r="B1937" s="21"/>
      <c r="C1937" s="21"/>
      <c r="D1937" s="26" t="str">
        <f aca="false">IF(C1937="","",IFERROR(INDEX('Cadastro Mestre'!$C$5:$C$504,MATCH(C1937,'Cadastro Mestre'!$A$5:$A$504,0)),"código não encontrado"))</f>
        <v/>
      </c>
      <c r="E1937" s="24" t="str">
        <f aca="false">IF(C1937="","",IFERROR(INDEX('Cadastro Mestre'!$Q$5:$Q$504,MATCH(C1937,'Cadastro Mestre'!$A$5:$A$504,0)),""))</f>
        <v/>
      </c>
      <c r="F1937" s="21"/>
      <c r="G1937" s="21"/>
      <c r="H1937" s="21"/>
      <c r="I1937" s="21"/>
    </row>
    <row r="1938" customFormat="false" ht="15" hidden="false" customHeight="false" outlineLevel="0" collapsed="false">
      <c r="A1938" s="25"/>
      <c r="B1938" s="21"/>
      <c r="C1938" s="21"/>
      <c r="D1938" s="26" t="str">
        <f aca="false">IF(C1938="","",IFERROR(INDEX('Cadastro Mestre'!$C$5:$C$504,MATCH(C1938,'Cadastro Mestre'!$A$5:$A$504,0)),"código não encontrado"))</f>
        <v/>
      </c>
      <c r="E1938" s="24" t="str">
        <f aca="false">IF(C1938="","",IFERROR(INDEX('Cadastro Mestre'!$Q$5:$Q$504,MATCH(C1938,'Cadastro Mestre'!$A$5:$A$504,0)),""))</f>
        <v/>
      </c>
      <c r="F1938" s="21"/>
      <c r="G1938" s="21"/>
      <c r="H1938" s="21"/>
      <c r="I1938" s="21"/>
    </row>
    <row r="1939" customFormat="false" ht="15" hidden="false" customHeight="false" outlineLevel="0" collapsed="false">
      <c r="A1939" s="25"/>
      <c r="B1939" s="21"/>
      <c r="C1939" s="21"/>
      <c r="D1939" s="26" t="str">
        <f aca="false">IF(C1939="","",IFERROR(INDEX('Cadastro Mestre'!$C$5:$C$504,MATCH(C1939,'Cadastro Mestre'!$A$5:$A$504,0)),"código não encontrado"))</f>
        <v/>
      </c>
      <c r="E1939" s="24" t="str">
        <f aca="false">IF(C1939="","",IFERROR(INDEX('Cadastro Mestre'!$Q$5:$Q$504,MATCH(C1939,'Cadastro Mestre'!$A$5:$A$504,0)),""))</f>
        <v/>
      </c>
      <c r="F1939" s="21"/>
      <c r="G1939" s="21"/>
      <c r="H1939" s="21"/>
      <c r="I1939" s="21"/>
    </row>
    <row r="1940" customFormat="false" ht="15" hidden="false" customHeight="false" outlineLevel="0" collapsed="false">
      <c r="A1940" s="25"/>
      <c r="B1940" s="21"/>
      <c r="C1940" s="21"/>
      <c r="D1940" s="26" t="str">
        <f aca="false">IF(C1940="","",IFERROR(INDEX('Cadastro Mestre'!$C$5:$C$504,MATCH(C1940,'Cadastro Mestre'!$A$5:$A$504,0)),"código não encontrado"))</f>
        <v/>
      </c>
      <c r="E1940" s="24" t="str">
        <f aca="false">IF(C1940="","",IFERROR(INDEX('Cadastro Mestre'!$Q$5:$Q$504,MATCH(C1940,'Cadastro Mestre'!$A$5:$A$504,0)),""))</f>
        <v/>
      </c>
      <c r="F1940" s="21"/>
      <c r="G1940" s="21"/>
      <c r="H1940" s="21"/>
      <c r="I1940" s="21"/>
    </row>
    <row r="1941" customFormat="false" ht="15" hidden="false" customHeight="false" outlineLevel="0" collapsed="false">
      <c r="A1941" s="25"/>
      <c r="B1941" s="21"/>
      <c r="C1941" s="21"/>
      <c r="D1941" s="26" t="str">
        <f aca="false">IF(C1941="","",IFERROR(INDEX('Cadastro Mestre'!$C$5:$C$504,MATCH(C1941,'Cadastro Mestre'!$A$5:$A$504,0)),"código não encontrado"))</f>
        <v/>
      </c>
      <c r="E1941" s="24" t="str">
        <f aca="false">IF(C1941="","",IFERROR(INDEX('Cadastro Mestre'!$Q$5:$Q$504,MATCH(C1941,'Cadastro Mestre'!$A$5:$A$504,0)),""))</f>
        <v/>
      </c>
      <c r="F1941" s="21"/>
      <c r="G1941" s="21"/>
      <c r="H1941" s="21"/>
      <c r="I1941" s="21"/>
    </row>
    <row r="1942" customFormat="false" ht="15" hidden="false" customHeight="false" outlineLevel="0" collapsed="false">
      <c r="A1942" s="25"/>
      <c r="B1942" s="21"/>
      <c r="C1942" s="21"/>
      <c r="D1942" s="26" t="str">
        <f aca="false">IF(C1942="","",IFERROR(INDEX('Cadastro Mestre'!$C$5:$C$504,MATCH(C1942,'Cadastro Mestre'!$A$5:$A$504,0)),"código não encontrado"))</f>
        <v/>
      </c>
      <c r="E1942" s="24" t="str">
        <f aca="false">IF(C1942="","",IFERROR(INDEX('Cadastro Mestre'!$Q$5:$Q$504,MATCH(C1942,'Cadastro Mestre'!$A$5:$A$504,0)),""))</f>
        <v/>
      </c>
      <c r="F1942" s="21"/>
      <c r="G1942" s="21"/>
      <c r="H1942" s="21"/>
      <c r="I1942" s="21"/>
    </row>
    <row r="1943" customFormat="false" ht="15" hidden="false" customHeight="false" outlineLevel="0" collapsed="false">
      <c r="A1943" s="25"/>
      <c r="B1943" s="21"/>
      <c r="C1943" s="21"/>
      <c r="D1943" s="26" t="str">
        <f aca="false">IF(C1943="","",IFERROR(INDEX('Cadastro Mestre'!$C$5:$C$504,MATCH(C1943,'Cadastro Mestre'!$A$5:$A$504,0)),"código não encontrado"))</f>
        <v/>
      </c>
      <c r="E1943" s="24" t="str">
        <f aca="false">IF(C1943="","",IFERROR(INDEX('Cadastro Mestre'!$Q$5:$Q$504,MATCH(C1943,'Cadastro Mestre'!$A$5:$A$504,0)),""))</f>
        <v/>
      </c>
      <c r="F1943" s="21"/>
      <c r="G1943" s="21"/>
      <c r="H1943" s="21"/>
      <c r="I1943" s="21"/>
    </row>
    <row r="1944" customFormat="false" ht="15" hidden="false" customHeight="false" outlineLevel="0" collapsed="false">
      <c r="A1944" s="25"/>
      <c r="B1944" s="21"/>
      <c r="C1944" s="21"/>
      <c r="D1944" s="26" t="str">
        <f aca="false">IF(C1944="","",IFERROR(INDEX('Cadastro Mestre'!$C$5:$C$504,MATCH(C1944,'Cadastro Mestre'!$A$5:$A$504,0)),"código não encontrado"))</f>
        <v/>
      </c>
      <c r="E1944" s="24" t="str">
        <f aca="false">IF(C1944="","",IFERROR(INDEX('Cadastro Mestre'!$Q$5:$Q$504,MATCH(C1944,'Cadastro Mestre'!$A$5:$A$504,0)),""))</f>
        <v/>
      </c>
      <c r="F1944" s="21"/>
      <c r="G1944" s="21"/>
      <c r="H1944" s="21"/>
      <c r="I1944" s="21"/>
    </row>
    <row r="1945" customFormat="false" ht="15" hidden="false" customHeight="false" outlineLevel="0" collapsed="false">
      <c r="A1945" s="25"/>
      <c r="B1945" s="21"/>
      <c r="C1945" s="21"/>
      <c r="D1945" s="26" t="str">
        <f aca="false">IF(C1945="","",IFERROR(INDEX('Cadastro Mestre'!$C$5:$C$504,MATCH(C1945,'Cadastro Mestre'!$A$5:$A$504,0)),"código não encontrado"))</f>
        <v/>
      </c>
      <c r="E1945" s="24" t="str">
        <f aca="false">IF(C1945="","",IFERROR(INDEX('Cadastro Mestre'!$Q$5:$Q$504,MATCH(C1945,'Cadastro Mestre'!$A$5:$A$504,0)),""))</f>
        <v/>
      </c>
      <c r="F1945" s="21"/>
      <c r="G1945" s="21"/>
      <c r="H1945" s="21"/>
      <c r="I1945" s="21"/>
    </row>
    <row r="1946" customFormat="false" ht="15" hidden="false" customHeight="false" outlineLevel="0" collapsed="false">
      <c r="A1946" s="25"/>
      <c r="B1946" s="21"/>
      <c r="C1946" s="21"/>
      <c r="D1946" s="26" t="str">
        <f aca="false">IF(C1946="","",IFERROR(INDEX('Cadastro Mestre'!$C$5:$C$504,MATCH(C1946,'Cadastro Mestre'!$A$5:$A$504,0)),"código não encontrado"))</f>
        <v/>
      </c>
      <c r="E1946" s="24" t="str">
        <f aca="false">IF(C1946="","",IFERROR(INDEX('Cadastro Mestre'!$Q$5:$Q$504,MATCH(C1946,'Cadastro Mestre'!$A$5:$A$504,0)),""))</f>
        <v/>
      </c>
      <c r="F1946" s="21"/>
      <c r="G1946" s="21"/>
      <c r="H1946" s="21"/>
      <c r="I1946" s="21"/>
    </row>
    <row r="1947" customFormat="false" ht="15" hidden="false" customHeight="false" outlineLevel="0" collapsed="false">
      <c r="A1947" s="25"/>
      <c r="B1947" s="21"/>
      <c r="C1947" s="21"/>
      <c r="D1947" s="26" t="str">
        <f aca="false">IF(C1947="","",IFERROR(INDEX('Cadastro Mestre'!$C$5:$C$504,MATCH(C1947,'Cadastro Mestre'!$A$5:$A$504,0)),"código não encontrado"))</f>
        <v/>
      </c>
      <c r="E1947" s="24" t="str">
        <f aca="false">IF(C1947="","",IFERROR(INDEX('Cadastro Mestre'!$Q$5:$Q$504,MATCH(C1947,'Cadastro Mestre'!$A$5:$A$504,0)),""))</f>
        <v/>
      </c>
      <c r="F1947" s="21"/>
      <c r="G1947" s="21"/>
      <c r="H1947" s="21"/>
      <c r="I1947" s="21"/>
    </row>
    <row r="1948" customFormat="false" ht="15" hidden="false" customHeight="false" outlineLevel="0" collapsed="false">
      <c r="A1948" s="25"/>
      <c r="B1948" s="21"/>
      <c r="C1948" s="21"/>
      <c r="D1948" s="26" t="str">
        <f aca="false">IF(C1948="","",IFERROR(INDEX('Cadastro Mestre'!$C$5:$C$504,MATCH(C1948,'Cadastro Mestre'!$A$5:$A$504,0)),"código não encontrado"))</f>
        <v/>
      </c>
      <c r="E1948" s="24" t="str">
        <f aca="false">IF(C1948="","",IFERROR(INDEX('Cadastro Mestre'!$Q$5:$Q$504,MATCH(C1948,'Cadastro Mestre'!$A$5:$A$504,0)),""))</f>
        <v/>
      </c>
      <c r="F1948" s="21"/>
      <c r="G1948" s="21"/>
      <c r="H1948" s="21"/>
      <c r="I1948" s="21"/>
    </row>
    <row r="1949" customFormat="false" ht="15" hidden="false" customHeight="false" outlineLevel="0" collapsed="false">
      <c r="A1949" s="25"/>
      <c r="B1949" s="21"/>
      <c r="C1949" s="21"/>
      <c r="D1949" s="26" t="str">
        <f aca="false">IF(C1949="","",IFERROR(INDEX('Cadastro Mestre'!$C$5:$C$504,MATCH(C1949,'Cadastro Mestre'!$A$5:$A$504,0)),"código não encontrado"))</f>
        <v/>
      </c>
      <c r="E1949" s="24" t="str">
        <f aca="false">IF(C1949="","",IFERROR(INDEX('Cadastro Mestre'!$Q$5:$Q$504,MATCH(C1949,'Cadastro Mestre'!$A$5:$A$504,0)),""))</f>
        <v/>
      </c>
      <c r="F1949" s="21"/>
      <c r="G1949" s="21"/>
      <c r="H1949" s="21"/>
      <c r="I1949" s="21"/>
    </row>
    <row r="1950" customFormat="false" ht="15" hidden="false" customHeight="false" outlineLevel="0" collapsed="false">
      <c r="A1950" s="25"/>
      <c r="B1950" s="21"/>
      <c r="C1950" s="21"/>
      <c r="D1950" s="26" t="str">
        <f aca="false">IF(C1950="","",IFERROR(INDEX('Cadastro Mestre'!$C$5:$C$504,MATCH(C1950,'Cadastro Mestre'!$A$5:$A$504,0)),"código não encontrado"))</f>
        <v/>
      </c>
      <c r="E1950" s="24" t="str">
        <f aca="false">IF(C1950="","",IFERROR(INDEX('Cadastro Mestre'!$Q$5:$Q$504,MATCH(C1950,'Cadastro Mestre'!$A$5:$A$504,0)),""))</f>
        <v/>
      </c>
      <c r="F1950" s="21"/>
      <c r="G1950" s="21"/>
      <c r="H1950" s="21"/>
      <c r="I1950" s="21"/>
    </row>
    <row r="1951" customFormat="false" ht="15" hidden="false" customHeight="false" outlineLevel="0" collapsed="false">
      <c r="A1951" s="25"/>
      <c r="B1951" s="21"/>
      <c r="C1951" s="21"/>
      <c r="D1951" s="26" t="str">
        <f aca="false">IF(C1951="","",IFERROR(INDEX('Cadastro Mestre'!$C$5:$C$504,MATCH(C1951,'Cadastro Mestre'!$A$5:$A$504,0)),"código não encontrado"))</f>
        <v/>
      </c>
      <c r="E1951" s="24" t="str">
        <f aca="false">IF(C1951="","",IFERROR(INDEX('Cadastro Mestre'!$Q$5:$Q$504,MATCH(C1951,'Cadastro Mestre'!$A$5:$A$504,0)),""))</f>
        <v/>
      </c>
      <c r="F1951" s="21"/>
      <c r="G1951" s="21"/>
      <c r="H1951" s="21"/>
      <c r="I1951" s="21"/>
    </row>
    <row r="1952" customFormat="false" ht="15" hidden="false" customHeight="false" outlineLevel="0" collapsed="false">
      <c r="A1952" s="25"/>
      <c r="B1952" s="21"/>
      <c r="C1952" s="21"/>
      <c r="D1952" s="26" t="str">
        <f aca="false">IF(C1952="","",IFERROR(INDEX('Cadastro Mestre'!$C$5:$C$504,MATCH(C1952,'Cadastro Mestre'!$A$5:$A$504,0)),"código não encontrado"))</f>
        <v/>
      </c>
      <c r="E1952" s="24" t="str">
        <f aca="false">IF(C1952="","",IFERROR(INDEX('Cadastro Mestre'!$Q$5:$Q$504,MATCH(C1952,'Cadastro Mestre'!$A$5:$A$504,0)),""))</f>
        <v/>
      </c>
      <c r="F1952" s="21"/>
      <c r="G1952" s="21"/>
      <c r="H1952" s="21"/>
      <c r="I1952" s="21"/>
    </row>
    <row r="1953" customFormat="false" ht="15" hidden="false" customHeight="false" outlineLevel="0" collapsed="false">
      <c r="A1953" s="25"/>
      <c r="B1953" s="21"/>
      <c r="C1953" s="21"/>
      <c r="D1953" s="26" t="str">
        <f aca="false">IF(C1953="","",IFERROR(INDEX('Cadastro Mestre'!$C$5:$C$504,MATCH(C1953,'Cadastro Mestre'!$A$5:$A$504,0)),"código não encontrado"))</f>
        <v/>
      </c>
      <c r="E1953" s="24" t="str">
        <f aca="false">IF(C1953="","",IFERROR(INDEX('Cadastro Mestre'!$Q$5:$Q$504,MATCH(C1953,'Cadastro Mestre'!$A$5:$A$504,0)),""))</f>
        <v/>
      </c>
      <c r="F1953" s="21"/>
      <c r="G1953" s="21"/>
      <c r="H1953" s="21"/>
      <c r="I1953" s="21"/>
    </row>
    <row r="1954" customFormat="false" ht="15" hidden="false" customHeight="false" outlineLevel="0" collapsed="false">
      <c r="A1954" s="25"/>
      <c r="B1954" s="21"/>
      <c r="C1954" s="21"/>
      <c r="D1954" s="26" t="str">
        <f aca="false">IF(C1954="","",IFERROR(INDEX('Cadastro Mestre'!$C$5:$C$504,MATCH(C1954,'Cadastro Mestre'!$A$5:$A$504,0)),"código não encontrado"))</f>
        <v/>
      </c>
      <c r="E1954" s="24" t="str">
        <f aca="false">IF(C1954="","",IFERROR(INDEX('Cadastro Mestre'!$Q$5:$Q$504,MATCH(C1954,'Cadastro Mestre'!$A$5:$A$504,0)),""))</f>
        <v/>
      </c>
      <c r="F1954" s="21"/>
      <c r="G1954" s="21"/>
      <c r="H1954" s="21"/>
      <c r="I1954" s="21"/>
    </row>
    <row r="1955" customFormat="false" ht="15" hidden="false" customHeight="false" outlineLevel="0" collapsed="false">
      <c r="A1955" s="25"/>
      <c r="B1955" s="21"/>
      <c r="C1955" s="21"/>
      <c r="D1955" s="26" t="str">
        <f aca="false">IF(C1955="","",IFERROR(INDEX('Cadastro Mestre'!$C$5:$C$504,MATCH(C1955,'Cadastro Mestre'!$A$5:$A$504,0)),"código não encontrado"))</f>
        <v/>
      </c>
      <c r="E1955" s="24" t="str">
        <f aca="false">IF(C1955="","",IFERROR(INDEX('Cadastro Mestre'!$Q$5:$Q$504,MATCH(C1955,'Cadastro Mestre'!$A$5:$A$504,0)),""))</f>
        <v/>
      </c>
      <c r="F1955" s="21"/>
      <c r="G1955" s="21"/>
      <c r="H1955" s="21"/>
      <c r="I1955" s="21"/>
    </row>
    <row r="1956" customFormat="false" ht="15" hidden="false" customHeight="false" outlineLevel="0" collapsed="false">
      <c r="A1956" s="25"/>
      <c r="B1956" s="21"/>
      <c r="C1956" s="21"/>
      <c r="D1956" s="26" t="str">
        <f aca="false">IF(C1956="","",IFERROR(INDEX('Cadastro Mestre'!$C$5:$C$504,MATCH(C1956,'Cadastro Mestre'!$A$5:$A$504,0)),"código não encontrado"))</f>
        <v/>
      </c>
      <c r="E1956" s="24" t="str">
        <f aca="false">IF(C1956="","",IFERROR(INDEX('Cadastro Mestre'!$Q$5:$Q$504,MATCH(C1956,'Cadastro Mestre'!$A$5:$A$504,0)),""))</f>
        <v/>
      </c>
      <c r="F1956" s="21"/>
      <c r="G1956" s="21"/>
      <c r="H1956" s="21"/>
      <c r="I1956" s="21"/>
    </row>
    <row r="1957" customFormat="false" ht="15" hidden="false" customHeight="false" outlineLevel="0" collapsed="false">
      <c r="A1957" s="25"/>
      <c r="B1957" s="21"/>
      <c r="C1957" s="21"/>
      <c r="D1957" s="26" t="str">
        <f aca="false">IF(C1957="","",IFERROR(INDEX('Cadastro Mestre'!$C$5:$C$504,MATCH(C1957,'Cadastro Mestre'!$A$5:$A$504,0)),"código não encontrado"))</f>
        <v/>
      </c>
      <c r="E1957" s="24" t="str">
        <f aca="false">IF(C1957="","",IFERROR(INDEX('Cadastro Mestre'!$Q$5:$Q$504,MATCH(C1957,'Cadastro Mestre'!$A$5:$A$504,0)),""))</f>
        <v/>
      </c>
      <c r="F1957" s="21"/>
      <c r="G1957" s="21"/>
      <c r="H1957" s="21"/>
      <c r="I1957" s="21"/>
    </row>
    <row r="1958" customFormat="false" ht="15" hidden="false" customHeight="false" outlineLevel="0" collapsed="false">
      <c r="A1958" s="25"/>
      <c r="B1958" s="21"/>
      <c r="C1958" s="21"/>
      <c r="D1958" s="26" t="str">
        <f aca="false">IF(C1958="","",IFERROR(INDEX('Cadastro Mestre'!$C$5:$C$504,MATCH(C1958,'Cadastro Mestre'!$A$5:$A$504,0)),"código não encontrado"))</f>
        <v/>
      </c>
      <c r="E1958" s="24" t="str">
        <f aca="false">IF(C1958="","",IFERROR(INDEX('Cadastro Mestre'!$Q$5:$Q$504,MATCH(C1958,'Cadastro Mestre'!$A$5:$A$504,0)),""))</f>
        <v/>
      </c>
      <c r="F1958" s="21"/>
      <c r="G1958" s="21"/>
      <c r="H1958" s="21"/>
      <c r="I1958" s="21"/>
    </row>
    <row r="1959" customFormat="false" ht="15" hidden="false" customHeight="false" outlineLevel="0" collapsed="false">
      <c r="A1959" s="25"/>
      <c r="B1959" s="21"/>
      <c r="C1959" s="21"/>
      <c r="D1959" s="26" t="str">
        <f aca="false">IF(C1959="","",IFERROR(INDEX('Cadastro Mestre'!$C$5:$C$504,MATCH(C1959,'Cadastro Mestre'!$A$5:$A$504,0)),"código não encontrado"))</f>
        <v/>
      </c>
      <c r="E1959" s="24" t="str">
        <f aca="false">IF(C1959="","",IFERROR(INDEX('Cadastro Mestre'!$Q$5:$Q$504,MATCH(C1959,'Cadastro Mestre'!$A$5:$A$504,0)),""))</f>
        <v/>
      </c>
      <c r="F1959" s="21"/>
      <c r="G1959" s="21"/>
      <c r="H1959" s="21"/>
      <c r="I1959" s="21"/>
    </row>
    <row r="1960" customFormat="false" ht="15" hidden="false" customHeight="false" outlineLevel="0" collapsed="false">
      <c r="A1960" s="25"/>
      <c r="B1960" s="21"/>
      <c r="C1960" s="21"/>
      <c r="D1960" s="26" t="str">
        <f aca="false">IF(C1960="","",IFERROR(INDEX('Cadastro Mestre'!$C$5:$C$504,MATCH(C1960,'Cadastro Mestre'!$A$5:$A$504,0)),"código não encontrado"))</f>
        <v/>
      </c>
      <c r="E1960" s="24" t="str">
        <f aca="false">IF(C1960="","",IFERROR(INDEX('Cadastro Mestre'!$Q$5:$Q$504,MATCH(C1960,'Cadastro Mestre'!$A$5:$A$504,0)),""))</f>
        <v/>
      </c>
      <c r="F1960" s="21"/>
      <c r="G1960" s="21"/>
      <c r="H1960" s="21"/>
      <c r="I1960" s="21"/>
    </row>
    <row r="1961" customFormat="false" ht="15" hidden="false" customHeight="false" outlineLevel="0" collapsed="false">
      <c r="A1961" s="25"/>
      <c r="B1961" s="21"/>
      <c r="C1961" s="21"/>
      <c r="D1961" s="26" t="str">
        <f aca="false">IF(C1961="","",IFERROR(INDEX('Cadastro Mestre'!$C$5:$C$504,MATCH(C1961,'Cadastro Mestre'!$A$5:$A$504,0)),"código não encontrado"))</f>
        <v/>
      </c>
      <c r="E1961" s="24" t="str">
        <f aca="false">IF(C1961="","",IFERROR(INDEX('Cadastro Mestre'!$Q$5:$Q$504,MATCH(C1961,'Cadastro Mestre'!$A$5:$A$504,0)),""))</f>
        <v/>
      </c>
      <c r="F1961" s="21"/>
      <c r="G1961" s="21"/>
      <c r="H1961" s="21"/>
      <c r="I1961" s="21"/>
    </row>
    <row r="1962" customFormat="false" ht="15" hidden="false" customHeight="false" outlineLevel="0" collapsed="false">
      <c r="A1962" s="25"/>
      <c r="B1962" s="21"/>
      <c r="C1962" s="21"/>
      <c r="D1962" s="26" t="str">
        <f aca="false">IF(C1962="","",IFERROR(INDEX('Cadastro Mestre'!$C$5:$C$504,MATCH(C1962,'Cadastro Mestre'!$A$5:$A$504,0)),"código não encontrado"))</f>
        <v/>
      </c>
      <c r="E1962" s="24" t="str">
        <f aca="false">IF(C1962="","",IFERROR(INDEX('Cadastro Mestre'!$Q$5:$Q$504,MATCH(C1962,'Cadastro Mestre'!$A$5:$A$504,0)),""))</f>
        <v/>
      </c>
      <c r="F1962" s="21"/>
      <c r="G1962" s="21"/>
      <c r="H1962" s="21"/>
      <c r="I1962" s="21"/>
    </row>
    <row r="1963" customFormat="false" ht="15" hidden="false" customHeight="false" outlineLevel="0" collapsed="false">
      <c r="A1963" s="25"/>
      <c r="B1963" s="21"/>
      <c r="C1963" s="21"/>
      <c r="D1963" s="26" t="str">
        <f aca="false">IF(C1963="","",IFERROR(INDEX('Cadastro Mestre'!$C$5:$C$504,MATCH(C1963,'Cadastro Mestre'!$A$5:$A$504,0)),"código não encontrado"))</f>
        <v/>
      </c>
      <c r="E1963" s="24" t="str">
        <f aca="false">IF(C1963="","",IFERROR(INDEX('Cadastro Mestre'!$Q$5:$Q$504,MATCH(C1963,'Cadastro Mestre'!$A$5:$A$504,0)),""))</f>
        <v/>
      </c>
      <c r="F1963" s="21"/>
      <c r="G1963" s="21"/>
      <c r="H1963" s="21"/>
      <c r="I1963" s="21"/>
    </row>
    <row r="1964" customFormat="false" ht="15" hidden="false" customHeight="false" outlineLevel="0" collapsed="false">
      <c r="A1964" s="25"/>
      <c r="B1964" s="21"/>
      <c r="C1964" s="21"/>
      <c r="D1964" s="26" t="str">
        <f aca="false">IF(C1964="","",IFERROR(INDEX('Cadastro Mestre'!$C$5:$C$504,MATCH(C1964,'Cadastro Mestre'!$A$5:$A$504,0)),"código não encontrado"))</f>
        <v/>
      </c>
      <c r="E1964" s="24" t="str">
        <f aca="false">IF(C1964="","",IFERROR(INDEX('Cadastro Mestre'!$Q$5:$Q$504,MATCH(C1964,'Cadastro Mestre'!$A$5:$A$504,0)),""))</f>
        <v/>
      </c>
      <c r="F1964" s="21"/>
      <c r="G1964" s="21"/>
      <c r="H1964" s="21"/>
      <c r="I1964" s="21"/>
    </row>
    <row r="1965" customFormat="false" ht="15" hidden="false" customHeight="false" outlineLevel="0" collapsed="false">
      <c r="A1965" s="25"/>
      <c r="B1965" s="21"/>
      <c r="C1965" s="21"/>
      <c r="D1965" s="26" t="str">
        <f aca="false">IF(C1965="","",IFERROR(INDEX('Cadastro Mestre'!$C$5:$C$504,MATCH(C1965,'Cadastro Mestre'!$A$5:$A$504,0)),"código não encontrado"))</f>
        <v/>
      </c>
      <c r="E1965" s="24" t="str">
        <f aca="false">IF(C1965="","",IFERROR(INDEX('Cadastro Mestre'!$Q$5:$Q$504,MATCH(C1965,'Cadastro Mestre'!$A$5:$A$504,0)),""))</f>
        <v/>
      </c>
      <c r="F1965" s="21"/>
      <c r="G1965" s="21"/>
      <c r="H1965" s="21"/>
      <c r="I1965" s="21"/>
    </row>
    <row r="1966" customFormat="false" ht="15" hidden="false" customHeight="false" outlineLevel="0" collapsed="false">
      <c r="A1966" s="25"/>
      <c r="B1966" s="21"/>
      <c r="C1966" s="21"/>
      <c r="D1966" s="26" t="str">
        <f aca="false">IF(C1966="","",IFERROR(INDEX('Cadastro Mestre'!$C$5:$C$504,MATCH(C1966,'Cadastro Mestre'!$A$5:$A$504,0)),"código não encontrado"))</f>
        <v/>
      </c>
      <c r="E1966" s="24" t="str">
        <f aca="false">IF(C1966="","",IFERROR(INDEX('Cadastro Mestre'!$Q$5:$Q$504,MATCH(C1966,'Cadastro Mestre'!$A$5:$A$504,0)),""))</f>
        <v/>
      </c>
      <c r="F1966" s="21"/>
      <c r="G1966" s="21"/>
      <c r="H1966" s="21"/>
      <c r="I1966" s="21"/>
    </row>
    <row r="1967" customFormat="false" ht="15" hidden="false" customHeight="false" outlineLevel="0" collapsed="false">
      <c r="A1967" s="25"/>
      <c r="B1967" s="21"/>
      <c r="C1967" s="21"/>
      <c r="D1967" s="26" t="str">
        <f aca="false">IF(C1967="","",IFERROR(INDEX('Cadastro Mestre'!$C$5:$C$504,MATCH(C1967,'Cadastro Mestre'!$A$5:$A$504,0)),"código não encontrado"))</f>
        <v/>
      </c>
      <c r="E1967" s="24" t="str">
        <f aca="false">IF(C1967="","",IFERROR(INDEX('Cadastro Mestre'!$Q$5:$Q$504,MATCH(C1967,'Cadastro Mestre'!$A$5:$A$504,0)),""))</f>
        <v/>
      </c>
      <c r="F1967" s="21"/>
      <c r="G1967" s="21"/>
      <c r="H1967" s="21"/>
      <c r="I1967" s="21"/>
    </row>
    <row r="1968" customFormat="false" ht="15" hidden="false" customHeight="false" outlineLevel="0" collapsed="false">
      <c r="A1968" s="25"/>
      <c r="B1968" s="21"/>
      <c r="C1968" s="21"/>
      <c r="D1968" s="26" t="str">
        <f aca="false">IF(C1968="","",IFERROR(INDEX('Cadastro Mestre'!$C$5:$C$504,MATCH(C1968,'Cadastro Mestre'!$A$5:$A$504,0)),"código não encontrado"))</f>
        <v/>
      </c>
      <c r="E1968" s="24" t="str">
        <f aca="false">IF(C1968="","",IFERROR(INDEX('Cadastro Mestre'!$Q$5:$Q$504,MATCH(C1968,'Cadastro Mestre'!$A$5:$A$504,0)),""))</f>
        <v/>
      </c>
      <c r="F1968" s="21"/>
      <c r="G1968" s="21"/>
      <c r="H1968" s="21"/>
      <c r="I1968" s="21"/>
    </row>
    <row r="1969" customFormat="false" ht="15" hidden="false" customHeight="false" outlineLevel="0" collapsed="false">
      <c r="A1969" s="25"/>
      <c r="B1969" s="21"/>
      <c r="C1969" s="21"/>
      <c r="D1969" s="26" t="str">
        <f aca="false">IF(C1969="","",IFERROR(INDEX('Cadastro Mestre'!$C$5:$C$504,MATCH(C1969,'Cadastro Mestre'!$A$5:$A$504,0)),"código não encontrado"))</f>
        <v/>
      </c>
      <c r="E1969" s="24" t="str">
        <f aca="false">IF(C1969="","",IFERROR(INDEX('Cadastro Mestre'!$Q$5:$Q$504,MATCH(C1969,'Cadastro Mestre'!$A$5:$A$504,0)),""))</f>
        <v/>
      </c>
      <c r="F1969" s="21"/>
      <c r="G1969" s="21"/>
      <c r="H1969" s="21"/>
      <c r="I1969" s="21"/>
    </row>
    <row r="1970" customFormat="false" ht="15" hidden="false" customHeight="false" outlineLevel="0" collapsed="false">
      <c r="A1970" s="25"/>
      <c r="B1970" s="21"/>
      <c r="C1970" s="21"/>
      <c r="D1970" s="26" t="str">
        <f aca="false">IF(C1970="","",IFERROR(INDEX('Cadastro Mestre'!$C$5:$C$504,MATCH(C1970,'Cadastro Mestre'!$A$5:$A$504,0)),"código não encontrado"))</f>
        <v/>
      </c>
      <c r="E1970" s="24" t="str">
        <f aca="false">IF(C1970="","",IFERROR(INDEX('Cadastro Mestre'!$Q$5:$Q$504,MATCH(C1970,'Cadastro Mestre'!$A$5:$A$504,0)),""))</f>
        <v/>
      </c>
      <c r="F1970" s="21"/>
      <c r="G1970" s="21"/>
      <c r="H1970" s="21"/>
      <c r="I1970" s="21"/>
    </row>
    <row r="1971" customFormat="false" ht="15" hidden="false" customHeight="false" outlineLevel="0" collapsed="false">
      <c r="A1971" s="25"/>
      <c r="B1971" s="21"/>
      <c r="C1971" s="21"/>
      <c r="D1971" s="26" t="str">
        <f aca="false">IF(C1971="","",IFERROR(INDEX('Cadastro Mestre'!$C$5:$C$504,MATCH(C1971,'Cadastro Mestre'!$A$5:$A$504,0)),"código não encontrado"))</f>
        <v/>
      </c>
      <c r="E1971" s="24" t="str">
        <f aca="false">IF(C1971="","",IFERROR(INDEX('Cadastro Mestre'!$Q$5:$Q$504,MATCH(C1971,'Cadastro Mestre'!$A$5:$A$504,0)),""))</f>
        <v/>
      </c>
      <c r="F1971" s="21"/>
      <c r="G1971" s="21"/>
      <c r="H1971" s="21"/>
      <c r="I1971" s="21"/>
    </row>
    <row r="1972" customFormat="false" ht="15" hidden="false" customHeight="false" outlineLevel="0" collapsed="false">
      <c r="A1972" s="25"/>
      <c r="B1972" s="21"/>
      <c r="C1972" s="21"/>
      <c r="D1972" s="26" t="str">
        <f aca="false">IF(C1972="","",IFERROR(INDEX('Cadastro Mestre'!$C$5:$C$504,MATCH(C1972,'Cadastro Mestre'!$A$5:$A$504,0)),"código não encontrado"))</f>
        <v/>
      </c>
      <c r="E1972" s="24" t="str">
        <f aca="false">IF(C1972="","",IFERROR(INDEX('Cadastro Mestre'!$Q$5:$Q$504,MATCH(C1972,'Cadastro Mestre'!$A$5:$A$504,0)),""))</f>
        <v/>
      </c>
      <c r="F1972" s="21"/>
      <c r="G1972" s="21"/>
      <c r="H1972" s="21"/>
      <c r="I1972" s="21"/>
    </row>
    <row r="1973" customFormat="false" ht="15" hidden="false" customHeight="false" outlineLevel="0" collapsed="false">
      <c r="A1973" s="25"/>
      <c r="B1973" s="21"/>
      <c r="C1973" s="21"/>
      <c r="D1973" s="26" t="str">
        <f aca="false">IF(C1973="","",IFERROR(INDEX('Cadastro Mestre'!$C$5:$C$504,MATCH(C1973,'Cadastro Mestre'!$A$5:$A$504,0)),"código não encontrado"))</f>
        <v/>
      </c>
      <c r="E1973" s="24" t="str">
        <f aca="false">IF(C1973="","",IFERROR(INDEX('Cadastro Mestre'!$Q$5:$Q$504,MATCH(C1973,'Cadastro Mestre'!$A$5:$A$504,0)),""))</f>
        <v/>
      </c>
      <c r="F1973" s="21"/>
      <c r="G1973" s="21"/>
      <c r="H1973" s="21"/>
      <c r="I1973" s="21"/>
    </row>
    <row r="1974" customFormat="false" ht="15" hidden="false" customHeight="false" outlineLevel="0" collapsed="false">
      <c r="A1974" s="25"/>
      <c r="B1974" s="21"/>
      <c r="C1974" s="21"/>
      <c r="D1974" s="26" t="str">
        <f aca="false">IF(C1974="","",IFERROR(INDEX('Cadastro Mestre'!$C$5:$C$504,MATCH(C1974,'Cadastro Mestre'!$A$5:$A$504,0)),"código não encontrado"))</f>
        <v/>
      </c>
      <c r="E1974" s="24" t="str">
        <f aca="false">IF(C1974="","",IFERROR(INDEX('Cadastro Mestre'!$Q$5:$Q$504,MATCH(C1974,'Cadastro Mestre'!$A$5:$A$504,0)),""))</f>
        <v/>
      </c>
      <c r="F1974" s="21"/>
      <c r="G1974" s="21"/>
      <c r="H1974" s="21"/>
      <c r="I1974" s="21"/>
    </row>
    <row r="1975" customFormat="false" ht="15" hidden="false" customHeight="false" outlineLevel="0" collapsed="false">
      <c r="A1975" s="25"/>
      <c r="B1975" s="21"/>
      <c r="C1975" s="21"/>
      <c r="D1975" s="26" t="str">
        <f aca="false">IF(C1975="","",IFERROR(INDEX('Cadastro Mestre'!$C$5:$C$504,MATCH(C1975,'Cadastro Mestre'!$A$5:$A$504,0)),"código não encontrado"))</f>
        <v/>
      </c>
      <c r="E1975" s="24" t="str">
        <f aca="false">IF(C1975="","",IFERROR(INDEX('Cadastro Mestre'!$Q$5:$Q$504,MATCH(C1975,'Cadastro Mestre'!$A$5:$A$504,0)),""))</f>
        <v/>
      </c>
      <c r="F1975" s="21"/>
      <c r="G1975" s="21"/>
      <c r="H1975" s="21"/>
      <c r="I1975" s="21"/>
    </row>
    <row r="1976" customFormat="false" ht="15" hidden="false" customHeight="false" outlineLevel="0" collapsed="false">
      <c r="A1976" s="25"/>
      <c r="B1976" s="21"/>
      <c r="C1976" s="21"/>
      <c r="D1976" s="26" t="str">
        <f aca="false">IF(C1976="","",IFERROR(INDEX('Cadastro Mestre'!$C$5:$C$504,MATCH(C1976,'Cadastro Mestre'!$A$5:$A$504,0)),"código não encontrado"))</f>
        <v/>
      </c>
      <c r="E1976" s="24" t="str">
        <f aca="false">IF(C1976="","",IFERROR(INDEX('Cadastro Mestre'!$Q$5:$Q$504,MATCH(C1976,'Cadastro Mestre'!$A$5:$A$504,0)),""))</f>
        <v/>
      </c>
      <c r="F1976" s="21"/>
      <c r="G1976" s="21"/>
      <c r="H1976" s="21"/>
      <c r="I1976" s="21"/>
    </row>
    <row r="1977" customFormat="false" ht="15" hidden="false" customHeight="false" outlineLevel="0" collapsed="false">
      <c r="A1977" s="25"/>
      <c r="B1977" s="21"/>
      <c r="C1977" s="21"/>
      <c r="D1977" s="26" t="str">
        <f aca="false">IF(C1977="","",IFERROR(INDEX('Cadastro Mestre'!$C$5:$C$504,MATCH(C1977,'Cadastro Mestre'!$A$5:$A$504,0)),"código não encontrado"))</f>
        <v/>
      </c>
      <c r="E1977" s="24" t="str">
        <f aca="false">IF(C1977="","",IFERROR(INDEX('Cadastro Mestre'!$Q$5:$Q$504,MATCH(C1977,'Cadastro Mestre'!$A$5:$A$504,0)),""))</f>
        <v/>
      </c>
      <c r="F1977" s="21"/>
      <c r="G1977" s="21"/>
      <c r="H1977" s="21"/>
      <c r="I1977" s="21"/>
    </row>
    <row r="1978" customFormat="false" ht="15" hidden="false" customHeight="false" outlineLevel="0" collapsed="false">
      <c r="A1978" s="25"/>
      <c r="B1978" s="21"/>
      <c r="C1978" s="21"/>
      <c r="D1978" s="26" t="str">
        <f aca="false">IF(C1978="","",IFERROR(INDEX('Cadastro Mestre'!$C$5:$C$504,MATCH(C1978,'Cadastro Mestre'!$A$5:$A$504,0)),"código não encontrado"))</f>
        <v/>
      </c>
      <c r="E1978" s="24" t="str">
        <f aca="false">IF(C1978="","",IFERROR(INDEX('Cadastro Mestre'!$Q$5:$Q$504,MATCH(C1978,'Cadastro Mestre'!$A$5:$A$504,0)),""))</f>
        <v/>
      </c>
      <c r="F1978" s="21"/>
      <c r="G1978" s="21"/>
      <c r="H1978" s="21"/>
      <c r="I1978" s="21"/>
    </row>
    <row r="1979" customFormat="false" ht="15" hidden="false" customHeight="false" outlineLevel="0" collapsed="false">
      <c r="A1979" s="25"/>
      <c r="B1979" s="21"/>
      <c r="C1979" s="21"/>
      <c r="D1979" s="26" t="str">
        <f aca="false">IF(C1979="","",IFERROR(INDEX('Cadastro Mestre'!$C$5:$C$504,MATCH(C1979,'Cadastro Mestre'!$A$5:$A$504,0)),"código não encontrado"))</f>
        <v/>
      </c>
      <c r="E1979" s="24" t="str">
        <f aca="false">IF(C1979="","",IFERROR(INDEX('Cadastro Mestre'!$Q$5:$Q$504,MATCH(C1979,'Cadastro Mestre'!$A$5:$A$504,0)),""))</f>
        <v/>
      </c>
      <c r="F1979" s="21"/>
      <c r="G1979" s="21"/>
      <c r="H1979" s="21"/>
      <c r="I1979" s="21"/>
    </row>
    <row r="1980" customFormat="false" ht="15" hidden="false" customHeight="false" outlineLevel="0" collapsed="false">
      <c r="A1980" s="25"/>
      <c r="B1980" s="21"/>
      <c r="C1980" s="21"/>
      <c r="D1980" s="26" t="str">
        <f aca="false">IF(C1980="","",IFERROR(INDEX('Cadastro Mestre'!$C$5:$C$504,MATCH(C1980,'Cadastro Mestre'!$A$5:$A$504,0)),"código não encontrado"))</f>
        <v/>
      </c>
      <c r="E1980" s="24" t="str">
        <f aca="false">IF(C1980="","",IFERROR(INDEX('Cadastro Mestre'!$Q$5:$Q$504,MATCH(C1980,'Cadastro Mestre'!$A$5:$A$504,0)),""))</f>
        <v/>
      </c>
      <c r="F1980" s="21"/>
      <c r="G1980" s="21"/>
      <c r="H1980" s="21"/>
      <c r="I1980" s="21"/>
    </row>
    <row r="1981" customFormat="false" ht="15" hidden="false" customHeight="false" outlineLevel="0" collapsed="false">
      <c r="A1981" s="25"/>
      <c r="B1981" s="21"/>
      <c r="C1981" s="21"/>
      <c r="D1981" s="26" t="str">
        <f aca="false">IF(C1981="","",IFERROR(INDEX('Cadastro Mestre'!$C$5:$C$504,MATCH(C1981,'Cadastro Mestre'!$A$5:$A$504,0)),"código não encontrado"))</f>
        <v/>
      </c>
      <c r="E1981" s="24" t="str">
        <f aca="false">IF(C1981="","",IFERROR(INDEX('Cadastro Mestre'!$Q$5:$Q$504,MATCH(C1981,'Cadastro Mestre'!$A$5:$A$504,0)),""))</f>
        <v/>
      </c>
      <c r="F1981" s="21"/>
      <c r="G1981" s="21"/>
      <c r="H1981" s="21"/>
      <c r="I1981" s="21"/>
    </row>
    <row r="1982" customFormat="false" ht="15" hidden="false" customHeight="false" outlineLevel="0" collapsed="false">
      <c r="A1982" s="25"/>
      <c r="B1982" s="21"/>
      <c r="C1982" s="21"/>
      <c r="D1982" s="26" t="str">
        <f aca="false">IF(C1982="","",IFERROR(INDEX('Cadastro Mestre'!$C$5:$C$504,MATCH(C1982,'Cadastro Mestre'!$A$5:$A$504,0)),"código não encontrado"))</f>
        <v/>
      </c>
      <c r="E1982" s="24" t="str">
        <f aca="false">IF(C1982="","",IFERROR(INDEX('Cadastro Mestre'!$Q$5:$Q$504,MATCH(C1982,'Cadastro Mestre'!$A$5:$A$504,0)),""))</f>
        <v/>
      </c>
      <c r="F1982" s="21"/>
      <c r="G1982" s="21"/>
      <c r="H1982" s="21"/>
      <c r="I1982" s="21"/>
    </row>
    <row r="1983" customFormat="false" ht="15" hidden="false" customHeight="false" outlineLevel="0" collapsed="false">
      <c r="A1983" s="25"/>
      <c r="B1983" s="21"/>
      <c r="C1983" s="21"/>
      <c r="D1983" s="26" t="str">
        <f aca="false">IF(C1983="","",IFERROR(INDEX('Cadastro Mestre'!$C$5:$C$504,MATCH(C1983,'Cadastro Mestre'!$A$5:$A$504,0)),"código não encontrado"))</f>
        <v/>
      </c>
      <c r="E1983" s="24" t="str">
        <f aca="false">IF(C1983="","",IFERROR(INDEX('Cadastro Mestre'!$Q$5:$Q$504,MATCH(C1983,'Cadastro Mestre'!$A$5:$A$504,0)),""))</f>
        <v/>
      </c>
      <c r="F1983" s="21"/>
      <c r="G1983" s="21"/>
      <c r="H1983" s="21"/>
      <c r="I1983" s="21"/>
    </row>
    <row r="1984" customFormat="false" ht="15" hidden="false" customHeight="false" outlineLevel="0" collapsed="false">
      <c r="A1984" s="25"/>
      <c r="B1984" s="21"/>
      <c r="C1984" s="21"/>
      <c r="D1984" s="26" t="str">
        <f aca="false">IF(C1984="","",IFERROR(INDEX('Cadastro Mestre'!$C$5:$C$504,MATCH(C1984,'Cadastro Mestre'!$A$5:$A$504,0)),"código não encontrado"))</f>
        <v/>
      </c>
      <c r="E1984" s="24" t="str">
        <f aca="false">IF(C1984="","",IFERROR(INDEX('Cadastro Mestre'!$Q$5:$Q$504,MATCH(C1984,'Cadastro Mestre'!$A$5:$A$504,0)),""))</f>
        <v/>
      </c>
      <c r="F1984" s="21"/>
      <c r="G1984" s="21"/>
      <c r="H1984" s="21"/>
      <c r="I1984" s="21"/>
    </row>
    <row r="1985" customFormat="false" ht="15" hidden="false" customHeight="false" outlineLevel="0" collapsed="false">
      <c r="A1985" s="25"/>
      <c r="B1985" s="21"/>
      <c r="C1985" s="21"/>
      <c r="D1985" s="26" t="str">
        <f aca="false">IF(C1985="","",IFERROR(INDEX('Cadastro Mestre'!$C$5:$C$504,MATCH(C1985,'Cadastro Mestre'!$A$5:$A$504,0)),"código não encontrado"))</f>
        <v/>
      </c>
      <c r="E1985" s="24" t="str">
        <f aca="false">IF(C1985="","",IFERROR(INDEX('Cadastro Mestre'!$Q$5:$Q$504,MATCH(C1985,'Cadastro Mestre'!$A$5:$A$504,0)),""))</f>
        <v/>
      </c>
      <c r="F1985" s="21"/>
      <c r="G1985" s="21"/>
      <c r="H1985" s="21"/>
      <c r="I1985" s="21"/>
    </row>
    <row r="1986" customFormat="false" ht="15" hidden="false" customHeight="false" outlineLevel="0" collapsed="false">
      <c r="A1986" s="25"/>
      <c r="B1986" s="21"/>
      <c r="C1986" s="21"/>
      <c r="D1986" s="26" t="str">
        <f aca="false">IF(C1986="","",IFERROR(INDEX('Cadastro Mestre'!$C$5:$C$504,MATCH(C1986,'Cadastro Mestre'!$A$5:$A$504,0)),"código não encontrado"))</f>
        <v/>
      </c>
      <c r="E1986" s="24" t="str">
        <f aca="false">IF(C1986="","",IFERROR(INDEX('Cadastro Mestre'!$Q$5:$Q$504,MATCH(C1986,'Cadastro Mestre'!$A$5:$A$504,0)),""))</f>
        <v/>
      </c>
      <c r="F1986" s="21"/>
      <c r="G1986" s="21"/>
      <c r="H1986" s="21"/>
      <c r="I1986" s="21"/>
    </row>
    <row r="1987" customFormat="false" ht="15" hidden="false" customHeight="false" outlineLevel="0" collapsed="false">
      <c r="A1987" s="25"/>
      <c r="B1987" s="21"/>
      <c r="C1987" s="21"/>
      <c r="D1987" s="26" t="str">
        <f aca="false">IF(C1987="","",IFERROR(INDEX('Cadastro Mestre'!$C$5:$C$504,MATCH(C1987,'Cadastro Mestre'!$A$5:$A$504,0)),"código não encontrado"))</f>
        <v/>
      </c>
      <c r="E1987" s="24" t="str">
        <f aca="false">IF(C1987="","",IFERROR(INDEX('Cadastro Mestre'!$Q$5:$Q$504,MATCH(C1987,'Cadastro Mestre'!$A$5:$A$504,0)),""))</f>
        <v/>
      </c>
      <c r="F1987" s="21"/>
      <c r="G1987" s="21"/>
      <c r="H1987" s="21"/>
      <c r="I1987" s="21"/>
    </row>
    <row r="1988" customFormat="false" ht="15" hidden="false" customHeight="false" outlineLevel="0" collapsed="false">
      <c r="A1988" s="25"/>
      <c r="B1988" s="21"/>
      <c r="C1988" s="21"/>
      <c r="D1988" s="26" t="str">
        <f aca="false">IF(C1988="","",IFERROR(INDEX('Cadastro Mestre'!$C$5:$C$504,MATCH(C1988,'Cadastro Mestre'!$A$5:$A$504,0)),"código não encontrado"))</f>
        <v/>
      </c>
      <c r="E1988" s="24" t="str">
        <f aca="false">IF(C1988="","",IFERROR(INDEX('Cadastro Mestre'!$Q$5:$Q$504,MATCH(C1988,'Cadastro Mestre'!$A$5:$A$504,0)),""))</f>
        <v/>
      </c>
      <c r="F1988" s="21"/>
      <c r="G1988" s="21"/>
      <c r="H1988" s="21"/>
      <c r="I1988" s="21"/>
    </row>
    <row r="1989" customFormat="false" ht="15" hidden="false" customHeight="false" outlineLevel="0" collapsed="false">
      <c r="A1989" s="25"/>
      <c r="B1989" s="21"/>
      <c r="C1989" s="21"/>
      <c r="D1989" s="26" t="str">
        <f aca="false">IF(C1989="","",IFERROR(INDEX('Cadastro Mestre'!$C$5:$C$504,MATCH(C1989,'Cadastro Mestre'!$A$5:$A$504,0)),"código não encontrado"))</f>
        <v/>
      </c>
      <c r="E1989" s="24" t="str">
        <f aca="false">IF(C1989="","",IFERROR(INDEX('Cadastro Mestre'!$Q$5:$Q$504,MATCH(C1989,'Cadastro Mestre'!$A$5:$A$504,0)),""))</f>
        <v/>
      </c>
      <c r="F1989" s="21"/>
      <c r="G1989" s="21"/>
      <c r="H1989" s="21"/>
      <c r="I1989" s="21"/>
    </row>
    <row r="1990" customFormat="false" ht="15" hidden="false" customHeight="false" outlineLevel="0" collapsed="false">
      <c r="A1990" s="25"/>
      <c r="B1990" s="21"/>
      <c r="C1990" s="21"/>
      <c r="D1990" s="26" t="str">
        <f aca="false">IF(C1990="","",IFERROR(INDEX('Cadastro Mestre'!$C$5:$C$504,MATCH(C1990,'Cadastro Mestre'!$A$5:$A$504,0)),"código não encontrado"))</f>
        <v/>
      </c>
      <c r="E1990" s="24" t="str">
        <f aca="false">IF(C1990="","",IFERROR(INDEX('Cadastro Mestre'!$Q$5:$Q$504,MATCH(C1990,'Cadastro Mestre'!$A$5:$A$504,0)),""))</f>
        <v/>
      </c>
      <c r="F1990" s="21"/>
      <c r="G1990" s="21"/>
      <c r="H1990" s="21"/>
      <c r="I1990" s="21"/>
    </row>
    <row r="1991" customFormat="false" ht="15" hidden="false" customHeight="false" outlineLevel="0" collapsed="false">
      <c r="A1991" s="25"/>
      <c r="B1991" s="21"/>
      <c r="C1991" s="21"/>
      <c r="D1991" s="26" t="str">
        <f aca="false">IF(C1991="","",IFERROR(INDEX('Cadastro Mestre'!$C$5:$C$504,MATCH(C1991,'Cadastro Mestre'!$A$5:$A$504,0)),"código não encontrado"))</f>
        <v/>
      </c>
      <c r="E1991" s="24" t="str">
        <f aca="false">IF(C1991="","",IFERROR(INDEX('Cadastro Mestre'!$Q$5:$Q$504,MATCH(C1991,'Cadastro Mestre'!$A$5:$A$504,0)),""))</f>
        <v/>
      </c>
      <c r="F1991" s="21"/>
      <c r="G1991" s="21"/>
      <c r="H1991" s="21"/>
      <c r="I1991" s="21"/>
    </row>
    <row r="1992" customFormat="false" ht="15" hidden="false" customHeight="false" outlineLevel="0" collapsed="false">
      <c r="A1992" s="25"/>
      <c r="B1992" s="21"/>
      <c r="C1992" s="21"/>
      <c r="D1992" s="26" t="str">
        <f aca="false">IF(C1992="","",IFERROR(INDEX('Cadastro Mestre'!$C$5:$C$504,MATCH(C1992,'Cadastro Mestre'!$A$5:$A$504,0)),"código não encontrado"))</f>
        <v/>
      </c>
      <c r="E1992" s="24" t="str">
        <f aca="false">IF(C1992="","",IFERROR(INDEX('Cadastro Mestre'!$Q$5:$Q$504,MATCH(C1992,'Cadastro Mestre'!$A$5:$A$504,0)),""))</f>
        <v/>
      </c>
      <c r="F1992" s="21"/>
      <c r="G1992" s="21"/>
      <c r="H1992" s="21"/>
      <c r="I1992" s="21"/>
    </row>
    <row r="1993" customFormat="false" ht="15" hidden="false" customHeight="false" outlineLevel="0" collapsed="false">
      <c r="A1993" s="25"/>
      <c r="B1993" s="21"/>
      <c r="C1993" s="21"/>
      <c r="D1993" s="26" t="str">
        <f aca="false">IF(C1993="","",IFERROR(INDEX('Cadastro Mestre'!$C$5:$C$504,MATCH(C1993,'Cadastro Mestre'!$A$5:$A$504,0)),"código não encontrado"))</f>
        <v/>
      </c>
      <c r="E1993" s="24" t="str">
        <f aca="false">IF(C1993="","",IFERROR(INDEX('Cadastro Mestre'!$Q$5:$Q$504,MATCH(C1993,'Cadastro Mestre'!$A$5:$A$504,0)),""))</f>
        <v/>
      </c>
      <c r="F1993" s="21"/>
      <c r="G1993" s="21"/>
      <c r="H1993" s="21"/>
      <c r="I1993" s="21"/>
    </row>
    <row r="1994" customFormat="false" ht="15" hidden="false" customHeight="false" outlineLevel="0" collapsed="false">
      <c r="A1994" s="25"/>
      <c r="B1994" s="21"/>
      <c r="C1994" s="21"/>
      <c r="D1994" s="26" t="str">
        <f aca="false">IF(C1994="","",IFERROR(INDEX('Cadastro Mestre'!$C$5:$C$504,MATCH(C1994,'Cadastro Mestre'!$A$5:$A$504,0)),"código não encontrado"))</f>
        <v/>
      </c>
      <c r="E1994" s="24" t="str">
        <f aca="false">IF(C1994="","",IFERROR(INDEX('Cadastro Mestre'!$Q$5:$Q$504,MATCH(C1994,'Cadastro Mestre'!$A$5:$A$504,0)),""))</f>
        <v/>
      </c>
      <c r="F1994" s="21"/>
      <c r="G1994" s="21"/>
      <c r="H1994" s="21"/>
      <c r="I1994" s="21"/>
    </row>
    <row r="1995" customFormat="false" ht="15" hidden="false" customHeight="false" outlineLevel="0" collapsed="false">
      <c r="A1995" s="25"/>
      <c r="B1995" s="21"/>
      <c r="C1995" s="21"/>
      <c r="D1995" s="26" t="str">
        <f aca="false">IF(C1995="","",IFERROR(INDEX('Cadastro Mestre'!$C$5:$C$504,MATCH(C1995,'Cadastro Mestre'!$A$5:$A$504,0)),"código não encontrado"))</f>
        <v/>
      </c>
      <c r="E1995" s="24" t="str">
        <f aca="false">IF(C1995="","",IFERROR(INDEX('Cadastro Mestre'!$Q$5:$Q$504,MATCH(C1995,'Cadastro Mestre'!$A$5:$A$504,0)),""))</f>
        <v/>
      </c>
      <c r="F1995" s="21"/>
      <c r="G1995" s="21"/>
      <c r="H1995" s="21"/>
      <c r="I1995" s="21"/>
    </row>
    <row r="1996" customFormat="false" ht="15" hidden="false" customHeight="false" outlineLevel="0" collapsed="false">
      <c r="A1996" s="25"/>
      <c r="B1996" s="21"/>
      <c r="C1996" s="21"/>
      <c r="D1996" s="26" t="str">
        <f aca="false">IF(C1996="","",IFERROR(INDEX('Cadastro Mestre'!$C$5:$C$504,MATCH(C1996,'Cadastro Mestre'!$A$5:$A$504,0)),"código não encontrado"))</f>
        <v/>
      </c>
      <c r="E1996" s="24" t="str">
        <f aca="false">IF(C1996="","",IFERROR(INDEX('Cadastro Mestre'!$Q$5:$Q$504,MATCH(C1996,'Cadastro Mestre'!$A$5:$A$504,0)),""))</f>
        <v/>
      </c>
      <c r="F1996" s="21"/>
      <c r="G1996" s="21"/>
      <c r="H1996" s="21"/>
      <c r="I1996" s="21"/>
    </row>
    <row r="1997" customFormat="false" ht="15" hidden="false" customHeight="false" outlineLevel="0" collapsed="false">
      <c r="A1997" s="25"/>
      <c r="B1997" s="21"/>
      <c r="C1997" s="21"/>
      <c r="D1997" s="26" t="str">
        <f aca="false">IF(C1997="","",IFERROR(INDEX('Cadastro Mestre'!$C$5:$C$504,MATCH(C1997,'Cadastro Mestre'!$A$5:$A$504,0)),"código não encontrado"))</f>
        <v/>
      </c>
      <c r="E1997" s="24" t="str">
        <f aca="false">IF(C1997="","",IFERROR(INDEX('Cadastro Mestre'!$Q$5:$Q$504,MATCH(C1997,'Cadastro Mestre'!$A$5:$A$504,0)),""))</f>
        <v/>
      </c>
      <c r="F1997" s="21"/>
      <c r="G1997" s="21"/>
      <c r="H1997" s="21"/>
      <c r="I1997" s="21"/>
    </row>
    <row r="1998" customFormat="false" ht="15" hidden="false" customHeight="false" outlineLevel="0" collapsed="false">
      <c r="A1998" s="25"/>
      <c r="B1998" s="21"/>
      <c r="C1998" s="21"/>
      <c r="D1998" s="26" t="str">
        <f aca="false">IF(C1998="","",IFERROR(INDEX('Cadastro Mestre'!$C$5:$C$504,MATCH(C1998,'Cadastro Mestre'!$A$5:$A$504,0)),"código não encontrado"))</f>
        <v/>
      </c>
      <c r="E1998" s="24" t="str">
        <f aca="false">IF(C1998="","",IFERROR(INDEX('Cadastro Mestre'!$Q$5:$Q$504,MATCH(C1998,'Cadastro Mestre'!$A$5:$A$504,0)),""))</f>
        <v/>
      </c>
      <c r="F1998" s="21"/>
      <c r="G1998" s="21"/>
      <c r="H1998" s="21"/>
      <c r="I1998" s="21"/>
    </row>
    <row r="1999" customFormat="false" ht="15" hidden="false" customHeight="false" outlineLevel="0" collapsed="false">
      <c r="A1999" s="25"/>
      <c r="B1999" s="21"/>
      <c r="C1999" s="21"/>
      <c r="D1999" s="26" t="str">
        <f aca="false">IF(C1999="","",IFERROR(INDEX('Cadastro Mestre'!$C$5:$C$504,MATCH(C1999,'Cadastro Mestre'!$A$5:$A$504,0)),"código não encontrado"))</f>
        <v/>
      </c>
      <c r="E1999" s="24" t="str">
        <f aca="false">IF(C1999="","",IFERROR(INDEX('Cadastro Mestre'!$Q$5:$Q$504,MATCH(C1999,'Cadastro Mestre'!$A$5:$A$504,0)),""))</f>
        <v/>
      </c>
      <c r="F1999" s="21"/>
      <c r="G1999" s="21"/>
      <c r="H1999" s="21"/>
      <c r="I1999" s="21"/>
    </row>
    <row r="2000" customFormat="false" ht="15" hidden="false" customHeight="false" outlineLevel="0" collapsed="false">
      <c r="A2000" s="25"/>
      <c r="B2000" s="21"/>
      <c r="C2000" s="21"/>
      <c r="D2000" s="26" t="str">
        <f aca="false">IF(C2000="","",IFERROR(INDEX('Cadastro Mestre'!$C$5:$C$504,MATCH(C2000,'Cadastro Mestre'!$A$5:$A$504,0)),"código não encontrado"))</f>
        <v/>
      </c>
      <c r="E2000" s="24" t="str">
        <f aca="false">IF(C2000="","",IFERROR(INDEX('Cadastro Mestre'!$Q$5:$Q$504,MATCH(C2000,'Cadastro Mestre'!$A$5:$A$504,0)),""))</f>
        <v/>
      </c>
      <c r="F2000" s="21"/>
      <c r="G2000" s="21"/>
      <c r="H2000" s="21"/>
      <c r="I2000" s="21"/>
    </row>
    <row r="2001" customFormat="false" ht="15" hidden="false" customHeight="false" outlineLevel="0" collapsed="false">
      <c r="A2001" s="25"/>
      <c r="B2001" s="21"/>
      <c r="C2001" s="21"/>
      <c r="D2001" s="26" t="str">
        <f aca="false">IF(C2001="","",IFERROR(INDEX('Cadastro Mestre'!$C$5:$C$504,MATCH(C2001,'Cadastro Mestre'!$A$5:$A$504,0)),"código não encontrado"))</f>
        <v/>
      </c>
      <c r="E2001" s="24" t="str">
        <f aca="false">IF(C2001="","",IFERROR(INDEX('Cadastro Mestre'!$Q$5:$Q$504,MATCH(C2001,'Cadastro Mestre'!$A$5:$A$504,0)),""))</f>
        <v/>
      </c>
      <c r="F2001" s="21"/>
      <c r="G2001" s="21"/>
      <c r="H2001" s="21"/>
      <c r="I2001" s="21"/>
    </row>
    <row r="2002" customFormat="false" ht="15" hidden="false" customHeight="false" outlineLevel="0" collapsed="false">
      <c r="A2002" s="25"/>
      <c r="B2002" s="21"/>
      <c r="C2002" s="21"/>
      <c r="D2002" s="26" t="str">
        <f aca="false">IF(C2002="","",IFERROR(INDEX('Cadastro Mestre'!$C$5:$C$504,MATCH(C2002,'Cadastro Mestre'!$A$5:$A$504,0)),"código não encontrado"))</f>
        <v/>
      </c>
      <c r="E2002" s="24" t="str">
        <f aca="false">IF(C2002="","",IFERROR(INDEX('Cadastro Mestre'!$Q$5:$Q$504,MATCH(C2002,'Cadastro Mestre'!$A$5:$A$504,0)),""))</f>
        <v/>
      </c>
      <c r="F2002" s="21"/>
      <c r="G2002" s="21"/>
      <c r="H2002" s="21"/>
      <c r="I2002" s="21"/>
    </row>
    <row r="2003" customFormat="false" ht="15" hidden="false" customHeight="false" outlineLevel="0" collapsed="false">
      <c r="A2003" s="25"/>
      <c r="B2003" s="21"/>
      <c r="C2003" s="21"/>
      <c r="D2003" s="26" t="str">
        <f aca="false">IF(C2003="","",IFERROR(INDEX('Cadastro Mestre'!$C$5:$C$504,MATCH(C2003,'Cadastro Mestre'!$A$5:$A$504,0)),"código não encontrado"))</f>
        <v/>
      </c>
      <c r="E2003" s="24" t="str">
        <f aca="false">IF(C2003="","",IFERROR(INDEX('Cadastro Mestre'!$Q$5:$Q$504,MATCH(C2003,'Cadastro Mestre'!$A$5:$A$504,0)),""))</f>
        <v/>
      </c>
      <c r="F2003" s="21"/>
      <c r="G2003" s="21"/>
      <c r="H2003" s="21"/>
      <c r="I2003" s="21"/>
    </row>
    <row r="2004" customFormat="false" ht="15" hidden="false" customHeight="false" outlineLevel="0" collapsed="false">
      <c r="A2004" s="25"/>
      <c r="B2004" s="21"/>
      <c r="C2004" s="21"/>
      <c r="D2004" s="26" t="str">
        <f aca="false">IF(C2004="","",IFERROR(INDEX('Cadastro Mestre'!$C$5:$C$504,MATCH(C2004,'Cadastro Mestre'!$A$5:$A$504,0)),"código não encontrado"))</f>
        <v/>
      </c>
      <c r="E2004" s="24" t="str">
        <f aca="false">IF(C2004="","",IFERROR(INDEX('Cadastro Mestre'!$Q$5:$Q$504,MATCH(C2004,'Cadastro Mestre'!$A$5:$A$504,0)),""))</f>
        <v/>
      </c>
      <c r="F2004" s="21"/>
      <c r="G2004" s="21"/>
      <c r="H2004" s="21"/>
      <c r="I2004" s="21"/>
    </row>
  </sheetData>
  <autoFilter ref="A4:I2004"/>
  <dataValidations count="4">
    <dataValidation allowBlank="true" error="Escolha um valor da lista." errorStyle="stop" errorTitle="Valor inválido" operator="between" showDropDown="false" showErrorMessage="true" showInputMessage="false" sqref="B5:B2004" type="list">
      <formula1>Equipe!$A$5:$A$24</formula1>
      <formula2>0</formula2>
    </dataValidation>
    <dataValidation allowBlank="true" error="Escolha um valor da lista." errorStyle="stop" errorTitle="Valor inválido" operator="between" showDropDown="false" showErrorMessage="true" showInputMessage="false" sqref="F5:F2004" type="list">
      <formula1>"1. Coleta e cobrança de documentos,2. Importação e escrituração,3. Conferência e auditoria,4. Apuração e guias,5. Obrigações acessórias,6. Atendimento e envio ao cliente,7. Outros"</formula1>
      <formula2>0</formula2>
    </dataValidation>
    <dataValidation allowBlank="true" error="Escolha um valor da lista." errorStyle="stop" errorTitle="Valor inválido" operator="between" prompt="S = refazendo algo que já tinha sido feito (erro, devolução, correção)." promptTitle="Preenchimento" showDropDown="false" showErrorMessage="true" showInputMessage="true" sqref="H5:H2004" type="list">
      <formula1>"S,N"</formula1>
      <formula2>0</formula2>
    </dataValidation>
    <dataValidation allowBlank="true" error="Informe minutos entre 1 e 600." errorStyle="stop" errorTitle="Minutos" operator="between" showDropDown="false" showErrorMessage="false" showInputMessage="false" sqref="G5:G2004" type="whole">
      <formula1>1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15" t="s">
        <v>133</v>
      </c>
      <c r="B4" s="27" t="n">
        <v>10</v>
      </c>
      <c r="C4" s="2" t="s">
        <v>134</v>
      </c>
    </row>
    <row r="5" customFormat="false" ht="15" hidden="false" customHeight="false" outlineLevel="0" collapsed="false">
      <c r="A5" s="15" t="s">
        <v>135</v>
      </c>
      <c r="B5" s="27" t="n">
        <v>21</v>
      </c>
    </row>
    <row r="6" customFormat="false" ht="15" hidden="false" customHeight="false" outlineLevel="0" collapsed="false">
      <c r="A6" s="15" t="s">
        <v>136</v>
      </c>
      <c r="B6" s="28" t="n">
        <f aca="false">IF(B4=0,0,B5/B4)</f>
        <v>2.1</v>
      </c>
    </row>
    <row r="8" customFormat="false" ht="15" hidden="false" customHeight="false" outlineLevel="0" collapsed="false">
      <c r="A8" s="3" t="s">
        <v>137</v>
      </c>
    </row>
    <row r="9" customFormat="false" ht="30" hidden="false" customHeight="true" outlineLevel="0" collapsed="false">
      <c r="A9" s="10" t="s">
        <v>126</v>
      </c>
      <c r="B9" s="10" t="s">
        <v>138</v>
      </c>
      <c r="C9" s="10" t="s">
        <v>139</v>
      </c>
      <c r="D9" s="10" t="s">
        <v>140</v>
      </c>
      <c r="E9" s="10" t="s">
        <v>141</v>
      </c>
      <c r="F9" s="10" t="s">
        <v>142</v>
      </c>
    </row>
    <row r="10" customFormat="false" ht="15" hidden="false" customHeight="false" outlineLevel="0" collapsed="false">
      <c r="A10" s="26" t="s">
        <v>34</v>
      </c>
      <c r="B10" s="29" t="n">
        <f aca="false">SUMIFS('Levantamento de Tempo'!$G$5:$G$2004,'Levantamento de Tempo'!$F$5:$F$2004,A10)</f>
        <v>0</v>
      </c>
      <c r="C10" s="30" t="n">
        <f aca="false">B10/60</f>
        <v>0</v>
      </c>
      <c r="D10" s="31" t="n">
        <f aca="false">IF($B$17=0,0,B10/$B$17)</f>
        <v>0</v>
      </c>
      <c r="E10" s="31" t="n">
        <f aca="false">IF(B10=0,0,SUMIFS('Levantamento de Tempo'!$G$5:$G$2004,'Levantamento de Tempo'!$F$5:$F$2004,A10,'Levantamento de Tempo'!$H$5:$H$2004,"S")/B10)</f>
        <v>0</v>
      </c>
      <c r="F10" s="30" t="n">
        <f aca="false">C10*$B$6</f>
        <v>0</v>
      </c>
    </row>
    <row r="11" customFormat="false" ht="15" hidden="false" customHeight="false" outlineLevel="0" collapsed="false">
      <c r="A11" s="26" t="s">
        <v>36</v>
      </c>
      <c r="B11" s="29" t="n">
        <f aca="false">SUMIFS('Levantamento de Tempo'!$G$5:$G$2004,'Levantamento de Tempo'!$F$5:$F$2004,A11)</f>
        <v>45</v>
      </c>
      <c r="C11" s="30" t="n">
        <f aca="false">B11/60</f>
        <v>0.75</v>
      </c>
      <c r="D11" s="31" t="n">
        <f aca="false">IF($B$17=0,0,B11/$B$17)</f>
        <v>1</v>
      </c>
      <c r="E11" s="31" t="n">
        <f aca="false">IF(B11=0,0,SUMIFS('Levantamento de Tempo'!$G$5:$G$2004,'Levantamento de Tempo'!$F$5:$F$2004,A11,'Levantamento de Tempo'!$H$5:$H$2004,"S")/B11)</f>
        <v>1</v>
      </c>
      <c r="F11" s="30" t="n">
        <f aca="false">C11*$B$6</f>
        <v>1.575</v>
      </c>
    </row>
    <row r="12" customFormat="false" ht="15" hidden="false" customHeight="false" outlineLevel="0" collapsed="false">
      <c r="A12" s="26" t="s">
        <v>38</v>
      </c>
      <c r="B12" s="29" t="n">
        <f aca="false">SUMIFS('Levantamento de Tempo'!$G$5:$G$2004,'Levantamento de Tempo'!$F$5:$F$2004,A12)</f>
        <v>0</v>
      </c>
      <c r="C12" s="30" t="n">
        <f aca="false">B12/60</f>
        <v>0</v>
      </c>
      <c r="D12" s="31" t="n">
        <f aca="false">IF($B$17=0,0,B12/$B$17)</f>
        <v>0</v>
      </c>
      <c r="E12" s="31" t="n">
        <f aca="false">IF(B12=0,0,SUMIFS('Levantamento de Tempo'!$G$5:$G$2004,'Levantamento de Tempo'!$F$5:$F$2004,A12,'Levantamento de Tempo'!$H$5:$H$2004,"S")/B12)</f>
        <v>0</v>
      </c>
      <c r="F12" s="30" t="n">
        <f aca="false">C12*$B$6</f>
        <v>0</v>
      </c>
    </row>
    <row r="13" customFormat="false" ht="15" hidden="false" customHeight="false" outlineLevel="0" collapsed="false">
      <c r="A13" s="26" t="s">
        <v>40</v>
      </c>
      <c r="B13" s="29" t="n">
        <f aca="false">SUMIFS('Levantamento de Tempo'!$G$5:$G$2004,'Levantamento de Tempo'!$F$5:$F$2004,A13)</f>
        <v>0</v>
      </c>
      <c r="C13" s="30" t="n">
        <f aca="false">B13/60</f>
        <v>0</v>
      </c>
      <c r="D13" s="31" t="n">
        <f aca="false">IF($B$17=0,0,B13/$B$17)</f>
        <v>0</v>
      </c>
      <c r="E13" s="31" t="n">
        <f aca="false">IF(B13=0,0,SUMIFS('Levantamento de Tempo'!$G$5:$G$2004,'Levantamento de Tempo'!$F$5:$F$2004,A13,'Levantamento de Tempo'!$H$5:$H$2004,"S")/B13)</f>
        <v>0</v>
      </c>
      <c r="F13" s="30" t="n">
        <f aca="false">C13*$B$6</f>
        <v>0</v>
      </c>
    </row>
    <row r="14" customFormat="false" ht="15" hidden="false" customHeight="false" outlineLevel="0" collapsed="false">
      <c r="A14" s="26" t="s">
        <v>42</v>
      </c>
      <c r="B14" s="29" t="n">
        <f aca="false">SUMIFS('Levantamento de Tempo'!$G$5:$G$2004,'Levantamento de Tempo'!$F$5:$F$2004,A14)</f>
        <v>0</v>
      </c>
      <c r="C14" s="30" t="n">
        <f aca="false">B14/60</f>
        <v>0</v>
      </c>
      <c r="D14" s="31" t="n">
        <f aca="false">IF($B$17=0,0,B14/$B$17)</f>
        <v>0</v>
      </c>
      <c r="E14" s="31" t="n">
        <f aca="false">IF(B14=0,0,SUMIFS('Levantamento de Tempo'!$G$5:$G$2004,'Levantamento de Tempo'!$F$5:$F$2004,A14,'Levantamento de Tempo'!$H$5:$H$2004,"S")/B14)</f>
        <v>0</v>
      </c>
      <c r="F14" s="30" t="n">
        <f aca="false">C14*$B$6</f>
        <v>0</v>
      </c>
    </row>
    <row r="15" customFormat="false" ht="15" hidden="false" customHeight="false" outlineLevel="0" collapsed="false">
      <c r="A15" s="26" t="s">
        <v>44</v>
      </c>
      <c r="B15" s="29" t="n">
        <f aca="false">SUMIFS('Levantamento de Tempo'!$G$5:$G$2004,'Levantamento de Tempo'!$F$5:$F$2004,A15)</f>
        <v>0</v>
      </c>
      <c r="C15" s="30" t="n">
        <f aca="false">B15/60</f>
        <v>0</v>
      </c>
      <c r="D15" s="31" t="n">
        <f aca="false">IF($B$17=0,0,B15/$B$17)</f>
        <v>0</v>
      </c>
      <c r="E15" s="31" t="n">
        <f aca="false">IF(B15=0,0,SUMIFS('Levantamento de Tempo'!$G$5:$G$2004,'Levantamento de Tempo'!$F$5:$F$2004,A15,'Levantamento de Tempo'!$H$5:$H$2004,"S")/B15)</f>
        <v>0</v>
      </c>
      <c r="F15" s="30" t="n">
        <f aca="false">C15*$B$6</f>
        <v>0</v>
      </c>
    </row>
    <row r="16" customFormat="false" ht="15" hidden="false" customHeight="false" outlineLevel="0" collapsed="false">
      <c r="A16" s="26" t="s">
        <v>46</v>
      </c>
      <c r="B16" s="29" t="n">
        <f aca="false">SUMIFS('Levantamento de Tempo'!$G$5:$G$2004,'Levantamento de Tempo'!$F$5:$F$2004,A16)</f>
        <v>0</v>
      </c>
      <c r="C16" s="30" t="n">
        <f aca="false">B16/60</f>
        <v>0</v>
      </c>
      <c r="D16" s="31" t="n">
        <f aca="false">IF($B$17=0,0,B16/$B$17)</f>
        <v>0</v>
      </c>
      <c r="E16" s="31" t="n">
        <f aca="false">IF(B16=0,0,SUMIFS('Levantamento de Tempo'!$G$5:$G$2004,'Levantamento de Tempo'!$F$5:$F$2004,A16,'Levantamento de Tempo'!$H$5:$H$2004,"S")/B16)</f>
        <v>0</v>
      </c>
      <c r="F16" s="30" t="n">
        <f aca="false">C16*$B$6</f>
        <v>0</v>
      </c>
    </row>
    <row r="17" customFormat="false" ht="15" hidden="false" customHeight="false" outlineLevel="0" collapsed="false">
      <c r="A17" s="32" t="s">
        <v>143</v>
      </c>
      <c r="B17" s="33" t="n">
        <f aca="false">SUM(B10:B16)</f>
        <v>45</v>
      </c>
      <c r="C17" s="34" t="n">
        <f aca="false">SUM(C10:C16)</f>
        <v>0.75</v>
      </c>
      <c r="D17" s="35" t="n">
        <f aca="false">SUM(D10:D16)</f>
        <v>1</v>
      </c>
      <c r="E17" s="35" t="n">
        <f aca="false">IF(B17=0,0,SUMIFS('Levantamento de Tempo'!$G$5:$G$2004,'Levantamento de Tempo'!$H$5:$H$2004,"S")/B17)</f>
        <v>1</v>
      </c>
      <c r="F17" s="34" t="n">
        <f aca="false">SUM(F10:F16)</f>
        <v>1.575</v>
      </c>
    </row>
    <row r="19" customFormat="false" ht="15" hidden="false" customHeight="false" outlineLevel="0" collapsed="false">
      <c r="A19" s="3" t="s">
        <v>144</v>
      </c>
    </row>
    <row r="20" customFormat="false" ht="30" hidden="false" customHeight="true" outlineLevel="0" collapsed="false">
      <c r="A20" s="10" t="s">
        <v>145</v>
      </c>
      <c r="B20" s="10" t="s">
        <v>139</v>
      </c>
      <c r="C20" s="10" t="s">
        <v>146</v>
      </c>
      <c r="D20" s="10" t="s">
        <v>147</v>
      </c>
      <c r="E20" s="10"/>
      <c r="F20" s="10"/>
    </row>
    <row r="21" customFormat="false" ht="15" hidden="false" customHeight="false" outlineLevel="0" collapsed="false">
      <c r="A21" s="36" t="str">
        <f aca="false">IF(Equipe!A5="","",Equipe!A5)</f>
        <v>Maria Exemplo (EXEMPLO)</v>
      </c>
      <c r="B21" s="30" t="n">
        <f aca="false">IF(A21="","",SUMIFS('Levantamento de Tempo'!$G$5:$G$2004,'Levantamento de Tempo'!$B$5:$B$2004,A21)/60)</f>
        <v>0.75</v>
      </c>
      <c r="C21" s="29" t="n">
        <f aca="false">IF(A21="","",COUNTIF('Cadastro Mestre'!$R$5:$R$504,A21))</f>
        <v>1</v>
      </c>
      <c r="D21" s="30" t="n">
        <f aca="false">IF(A21="","",IF(C21=0,"-",B21*$B$6/C21))</f>
        <v>1.575</v>
      </c>
    </row>
    <row r="22" customFormat="false" ht="15" hidden="false" customHeight="false" outlineLevel="0" collapsed="false">
      <c r="A22" s="36" t="str">
        <f aca="false">IF(Equipe!A6="","",Equipe!A6)</f>
        <v/>
      </c>
      <c r="B22" s="30" t="str">
        <f aca="false">IF(A22="","",SUMIFS('Levantamento de Tempo'!$G$5:$G$2004,'Levantamento de Tempo'!$B$5:$B$2004,A22)/60)</f>
        <v/>
      </c>
      <c r="C22" s="29" t="str">
        <f aca="false">IF(A22="","",COUNTIF('Cadastro Mestre'!$R$5:$R$504,A22))</f>
        <v/>
      </c>
      <c r="D22" s="30" t="str">
        <f aca="false">IF(A22="","",IF(C22=0,"-",B22*$B$6/C22))</f>
        <v/>
      </c>
    </row>
    <row r="23" customFormat="false" ht="15" hidden="false" customHeight="false" outlineLevel="0" collapsed="false">
      <c r="A23" s="36" t="str">
        <f aca="false">IF(Equipe!A7="","",Equipe!A7)</f>
        <v/>
      </c>
      <c r="B23" s="30" t="str">
        <f aca="false">IF(A23="","",SUMIFS('Levantamento de Tempo'!$G$5:$G$2004,'Levantamento de Tempo'!$B$5:$B$2004,A23)/60)</f>
        <v/>
      </c>
      <c r="C23" s="29" t="str">
        <f aca="false">IF(A23="","",COUNTIF('Cadastro Mestre'!$R$5:$R$504,A23))</f>
        <v/>
      </c>
      <c r="D23" s="30" t="str">
        <f aca="false">IF(A23="","",IF(C23=0,"-",B23*$B$6/C23))</f>
        <v/>
      </c>
    </row>
    <row r="24" customFormat="false" ht="15" hidden="false" customHeight="false" outlineLevel="0" collapsed="false">
      <c r="A24" s="36" t="str">
        <f aca="false">IF(Equipe!A8="","",Equipe!A8)</f>
        <v/>
      </c>
      <c r="B24" s="30" t="str">
        <f aca="false">IF(A24="","",SUMIFS('Levantamento de Tempo'!$G$5:$G$2004,'Levantamento de Tempo'!$B$5:$B$2004,A24)/60)</f>
        <v/>
      </c>
      <c r="C24" s="29" t="str">
        <f aca="false">IF(A24="","",COUNTIF('Cadastro Mestre'!$R$5:$R$504,A24))</f>
        <v/>
      </c>
      <c r="D24" s="30" t="str">
        <f aca="false">IF(A24="","",IF(C24=0,"-",B24*$B$6/C24))</f>
        <v/>
      </c>
    </row>
    <row r="25" customFormat="false" ht="15" hidden="false" customHeight="false" outlineLevel="0" collapsed="false">
      <c r="A25" s="36" t="str">
        <f aca="false">IF(Equipe!A9="","",Equipe!A9)</f>
        <v/>
      </c>
      <c r="B25" s="30" t="str">
        <f aca="false">IF(A25="","",SUMIFS('Levantamento de Tempo'!$G$5:$G$2004,'Levantamento de Tempo'!$B$5:$B$2004,A25)/60)</f>
        <v/>
      </c>
      <c r="C25" s="29" t="str">
        <f aca="false">IF(A25="","",COUNTIF('Cadastro Mestre'!$R$5:$R$504,A25))</f>
        <v/>
      </c>
      <c r="D25" s="30" t="str">
        <f aca="false">IF(A25="","",IF(C25=0,"-",B25*$B$6/C25))</f>
        <v/>
      </c>
    </row>
    <row r="26" customFormat="false" ht="15" hidden="false" customHeight="false" outlineLevel="0" collapsed="false">
      <c r="A26" s="36" t="str">
        <f aca="false">IF(Equipe!A10="","",Equipe!A10)</f>
        <v/>
      </c>
      <c r="B26" s="30" t="str">
        <f aca="false">IF(A26="","",SUMIFS('Levantamento de Tempo'!$G$5:$G$2004,'Levantamento de Tempo'!$B$5:$B$2004,A26)/60)</f>
        <v/>
      </c>
      <c r="C26" s="29" t="str">
        <f aca="false">IF(A26="","",COUNTIF('Cadastro Mestre'!$R$5:$R$504,A26))</f>
        <v/>
      </c>
      <c r="D26" s="30" t="str">
        <f aca="false">IF(A26="","",IF(C26=0,"-",B26*$B$6/C26))</f>
        <v/>
      </c>
    </row>
    <row r="27" customFormat="false" ht="15" hidden="false" customHeight="false" outlineLevel="0" collapsed="false">
      <c r="A27" s="36" t="str">
        <f aca="false">IF(Equipe!A11="","",Equipe!A11)</f>
        <v/>
      </c>
      <c r="B27" s="30" t="str">
        <f aca="false">IF(A27="","",SUMIFS('Levantamento de Tempo'!$G$5:$G$2004,'Levantamento de Tempo'!$B$5:$B$2004,A27)/60)</f>
        <v/>
      </c>
      <c r="C27" s="29" t="str">
        <f aca="false">IF(A27="","",COUNTIF('Cadastro Mestre'!$R$5:$R$504,A27))</f>
        <v/>
      </c>
      <c r="D27" s="30" t="str">
        <f aca="false">IF(A27="","",IF(C27=0,"-",B27*$B$6/C27))</f>
        <v/>
      </c>
    </row>
    <row r="28" customFormat="false" ht="15" hidden="false" customHeight="false" outlineLevel="0" collapsed="false">
      <c r="A28" s="36" t="str">
        <f aca="false">IF(Equipe!A12="","",Equipe!A12)</f>
        <v/>
      </c>
      <c r="B28" s="30" t="str">
        <f aca="false">IF(A28="","",SUMIFS('Levantamento de Tempo'!$G$5:$G$2004,'Levantamento de Tempo'!$B$5:$B$2004,A28)/60)</f>
        <v/>
      </c>
      <c r="C28" s="29" t="str">
        <f aca="false">IF(A28="","",COUNTIF('Cadastro Mestre'!$R$5:$R$504,A28))</f>
        <v/>
      </c>
      <c r="D28" s="30" t="str">
        <f aca="false">IF(A28="","",IF(C28=0,"-",B28*$B$6/C28))</f>
        <v/>
      </c>
    </row>
    <row r="29" customFormat="false" ht="15" hidden="false" customHeight="false" outlineLevel="0" collapsed="false">
      <c r="A29" s="36" t="str">
        <f aca="false">IF(Equipe!A13="","",Equipe!A13)</f>
        <v/>
      </c>
      <c r="B29" s="30" t="str">
        <f aca="false">IF(A29="","",SUMIFS('Levantamento de Tempo'!$G$5:$G$2004,'Levantamento de Tempo'!$B$5:$B$2004,A29)/60)</f>
        <v/>
      </c>
      <c r="C29" s="29" t="str">
        <f aca="false">IF(A29="","",COUNTIF('Cadastro Mestre'!$R$5:$R$504,A29))</f>
        <v/>
      </c>
      <c r="D29" s="30" t="str">
        <f aca="false">IF(A29="","",IF(C29=0,"-",B29*$B$6/C29))</f>
        <v/>
      </c>
    </row>
    <row r="30" customFormat="false" ht="15" hidden="false" customHeight="false" outlineLevel="0" collapsed="false">
      <c r="A30" s="36" t="str">
        <f aca="false">IF(Equipe!A14="","",Equipe!A14)</f>
        <v/>
      </c>
      <c r="B30" s="30" t="str">
        <f aca="false">IF(A30="","",SUMIFS('Levantamento de Tempo'!$G$5:$G$2004,'Levantamento de Tempo'!$B$5:$B$2004,A30)/60)</f>
        <v/>
      </c>
      <c r="C30" s="29" t="str">
        <f aca="false">IF(A30="","",COUNTIF('Cadastro Mestre'!$R$5:$R$504,A30))</f>
        <v/>
      </c>
      <c r="D30" s="30" t="str">
        <f aca="false">IF(A30="","",IF(C30=0,"-",B30*$B$6/C30))</f>
        <v/>
      </c>
    </row>
    <row r="31" customFormat="false" ht="15" hidden="false" customHeight="false" outlineLevel="0" collapsed="false">
      <c r="A31" s="36" t="str">
        <f aca="false">IF(Equipe!A15="","",Equipe!A15)</f>
        <v/>
      </c>
      <c r="B31" s="30" t="str">
        <f aca="false">IF(A31="","",SUMIFS('Levantamento de Tempo'!$G$5:$G$2004,'Levantamento de Tempo'!$B$5:$B$2004,A31)/60)</f>
        <v/>
      </c>
      <c r="C31" s="29" t="str">
        <f aca="false">IF(A31="","",COUNTIF('Cadastro Mestre'!$R$5:$R$504,A31))</f>
        <v/>
      </c>
      <c r="D31" s="30" t="str">
        <f aca="false">IF(A31="","",IF(C31=0,"-",B31*$B$6/C31))</f>
        <v/>
      </c>
    </row>
    <row r="32" customFormat="false" ht="15" hidden="false" customHeight="false" outlineLevel="0" collapsed="false">
      <c r="A32" s="36" t="str">
        <f aca="false">IF(Equipe!A16="","",Equipe!A16)</f>
        <v/>
      </c>
      <c r="B32" s="30" t="str">
        <f aca="false">IF(A32="","",SUMIFS('Levantamento de Tempo'!$G$5:$G$2004,'Levantamento de Tempo'!$B$5:$B$2004,A32)/60)</f>
        <v/>
      </c>
      <c r="C32" s="29" t="str">
        <f aca="false">IF(A32="","",COUNTIF('Cadastro Mestre'!$R$5:$R$504,A32))</f>
        <v/>
      </c>
      <c r="D32" s="30" t="str">
        <f aca="false">IF(A32="","",IF(C32=0,"-",B32*$B$6/C32))</f>
        <v/>
      </c>
    </row>
    <row r="33" customFormat="false" ht="15" hidden="false" customHeight="false" outlineLevel="0" collapsed="false">
      <c r="A33" s="36" t="str">
        <f aca="false">IF(Equipe!A17="","",Equipe!A17)</f>
        <v/>
      </c>
      <c r="B33" s="30" t="str">
        <f aca="false">IF(A33="","",SUMIFS('Levantamento de Tempo'!$G$5:$G$2004,'Levantamento de Tempo'!$B$5:$B$2004,A33)/60)</f>
        <v/>
      </c>
      <c r="C33" s="29" t="str">
        <f aca="false">IF(A33="","",COUNTIF('Cadastro Mestre'!$R$5:$R$504,A33))</f>
        <v/>
      </c>
      <c r="D33" s="30" t="str">
        <f aca="false">IF(A33="","",IF(C33=0,"-",B33*$B$6/C33))</f>
        <v/>
      </c>
    </row>
    <row r="34" customFormat="false" ht="15" hidden="false" customHeight="false" outlineLevel="0" collapsed="false">
      <c r="A34" s="36" t="str">
        <f aca="false">IF(Equipe!A18="","",Equipe!A18)</f>
        <v/>
      </c>
      <c r="B34" s="30" t="str">
        <f aca="false">IF(A34="","",SUMIFS('Levantamento de Tempo'!$G$5:$G$2004,'Levantamento de Tempo'!$B$5:$B$2004,A34)/60)</f>
        <v/>
      </c>
      <c r="C34" s="29" t="str">
        <f aca="false">IF(A34="","",COUNTIF('Cadastro Mestre'!$R$5:$R$504,A34))</f>
        <v/>
      </c>
      <c r="D34" s="30" t="str">
        <f aca="false">IF(A34="","",IF(C34=0,"-",B34*$B$6/C34))</f>
        <v/>
      </c>
    </row>
    <row r="35" customFormat="false" ht="15" hidden="false" customHeight="false" outlineLevel="0" collapsed="false">
      <c r="A35" s="36" t="str">
        <f aca="false">IF(Equipe!A19="","",Equipe!A19)</f>
        <v/>
      </c>
      <c r="B35" s="30" t="str">
        <f aca="false">IF(A35="","",SUMIFS('Levantamento de Tempo'!$G$5:$G$2004,'Levantamento de Tempo'!$B$5:$B$2004,A35)/60)</f>
        <v/>
      </c>
      <c r="C35" s="29" t="str">
        <f aca="false">IF(A35="","",COUNTIF('Cadastro Mestre'!$R$5:$R$504,A35))</f>
        <v/>
      </c>
      <c r="D35" s="30" t="str">
        <f aca="false">IF(A35="","",IF(C35=0,"-",B35*$B$6/C35))</f>
        <v/>
      </c>
    </row>
    <row r="36" customFormat="false" ht="15" hidden="false" customHeight="false" outlineLevel="0" collapsed="false">
      <c r="A36" s="36" t="str">
        <f aca="false">IF(Equipe!A20="","",Equipe!A20)</f>
        <v/>
      </c>
      <c r="B36" s="30" t="str">
        <f aca="false">IF(A36="","",SUMIFS('Levantamento de Tempo'!$G$5:$G$2004,'Levantamento de Tempo'!$B$5:$B$2004,A36)/60)</f>
        <v/>
      </c>
      <c r="C36" s="29" t="str">
        <f aca="false">IF(A36="","",COUNTIF('Cadastro Mestre'!$R$5:$R$504,A36))</f>
        <v/>
      </c>
      <c r="D36" s="30" t="str">
        <f aca="false">IF(A36="","",IF(C36=0,"-",B36*$B$6/C36))</f>
        <v/>
      </c>
    </row>
    <row r="37" customFormat="false" ht="15" hidden="false" customHeight="false" outlineLevel="0" collapsed="false">
      <c r="A37" s="36" t="str">
        <f aca="false">IF(Equipe!A21="","",Equipe!A21)</f>
        <v/>
      </c>
      <c r="B37" s="30" t="str">
        <f aca="false">IF(A37="","",SUMIFS('Levantamento de Tempo'!$G$5:$G$2004,'Levantamento de Tempo'!$B$5:$B$2004,A37)/60)</f>
        <v/>
      </c>
      <c r="C37" s="29" t="str">
        <f aca="false">IF(A37="","",COUNTIF('Cadastro Mestre'!$R$5:$R$504,A37))</f>
        <v/>
      </c>
      <c r="D37" s="30" t="str">
        <f aca="false">IF(A37="","",IF(C37=0,"-",B37*$B$6/C37))</f>
        <v/>
      </c>
    </row>
    <row r="38" customFormat="false" ht="15" hidden="false" customHeight="false" outlineLevel="0" collapsed="false">
      <c r="A38" s="36" t="str">
        <f aca="false">IF(Equipe!A22="","",Equipe!A22)</f>
        <v/>
      </c>
      <c r="B38" s="30" t="str">
        <f aca="false">IF(A38="","",SUMIFS('Levantamento de Tempo'!$G$5:$G$2004,'Levantamento de Tempo'!$B$5:$B$2004,A38)/60)</f>
        <v/>
      </c>
      <c r="C38" s="29" t="str">
        <f aca="false">IF(A38="","",COUNTIF('Cadastro Mestre'!$R$5:$R$504,A38))</f>
        <v/>
      </c>
      <c r="D38" s="30" t="str">
        <f aca="false">IF(A38="","",IF(C38=0,"-",B38*$B$6/C38))</f>
        <v/>
      </c>
    </row>
    <row r="39" customFormat="false" ht="15" hidden="false" customHeight="false" outlineLevel="0" collapsed="false">
      <c r="A39" s="36" t="str">
        <f aca="false">IF(Equipe!A23="","",Equipe!A23)</f>
        <v/>
      </c>
      <c r="B39" s="30" t="str">
        <f aca="false">IF(A39="","",SUMIFS('Levantamento de Tempo'!$G$5:$G$2004,'Levantamento de Tempo'!$B$5:$B$2004,A39)/60)</f>
        <v/>
      </c>
      <c r="C39" s="29" t="str">
        <f aca="false">IF(A39="","",COUNTIF('Cadastro Mestre'!$R$5:$R$504,A39))</f>
        <v/>
      </c>
      <c r="D39" s="30" t="str">
        <f aca="false">IF(A39="","",IF(C39=0,"-",B39*$B$6/C39))</f>
        <v/>
      </c>
    </row>
    <row r="40" customFormat="false" ht="15" hidden="false" customHeight="false" outlineLevel="0" collapsed="false">
      <c r="A40" s="36" t="str">
        <f aca="false">IF(Equipe!A24="","",Equipe!A24)</f>
        <v/>
      </c>
      <c r="B40" s="30" t="str">
        <f aca="false">IF(A40="","",SUMIFS('Levantamento de Tempo'!$G$5:$G$2004,'Levantamento de Tempo'!$B$5:$B$2004,A40)/60)</f>
        <v/>
      </c>
      <c r="C40" s="29" t="str">
        <f aca="false">IF(A40="","",COUNTIF('Cadastro Mestre'!$R$5:$R$504,A40))</f>
        <v/>
      </c>
      <c r="D40" s="30" t="str">
        <f aca="false">IF(A40="","",IF(C40=0,"-",B40*$B$6/C40))</f>
        <v/>
      </c>
    </row>
    <row r="42" customFormat="false" ht="15" hidden="false" customHeight="false" outlineLevel="0" collapsed="false">
      <c r="A42" s="3" t="s">
        <v>148</v>
      </c>
    </row>
    <row r="43" customFormat="false" ht="30" hidden="false" customHeight="true" outlineLevel="0" collapsed="false">
      <c r="A43" s="10" t="s">
        <v>149</v>
      </c>
      <c r="B43" s="10" t="s">
        <v>150</v>
      </c>
      <c r="C43" s="10" t="s">
        <v>139</v>
      </c>
      <c r="D43" s="10" t="s">
        <v>147</v>
      </c>
      <c r="E43" s="10"/>
      <c r="F43" s="10"/>
    </row>
    <row r="44" customFormat="false" ht="15" hidden="false" customHeight="false" outlineLevel="0" collapsed="false">
      <c r="A44" s="37" t="s">
        <v>151</v>
      </c>
      <c r="B44" s="29" t="n">
        <f aca="false">COUNTIF('Cadastro Mestre'!$Q$5:$Q$504,A44)</f>
        <v>0</v>
      </c>
      <c r="C44" s="30" t="n">
        <f aca="false">SUMIFS('Levantamento de Tempo'!$G$5:$G$2004,'Levantamento de Tempo'!$E$5:$E$2004,A44)/60</f>
        <v>0</v>
      </c>
      <c r="D44" s="30" t="str">
        <f aca="false">IF(B44=0,"-",C44*$B$6/B44)</f>
        <v>-</v>
      </c>
    </row>
    <row r="45" customFormat="false" ht="15" hidden="false" customHeight="false" outlineLevel="0" collapsed="false">
      <c r="A45" s="37" t="s">
        <v>152</v>
      </c>
      <c r="B45" s="29" t="n">
        <f aca="false">COUNTIF('Cadastro Mestre'!$Q$5:$Q$504,A45)</f>
        <v>1</v>
      </c>
      <c r="C45" s="30" t="n">
        <f aca="false">SUMIFS('Levantamento de Tempo'!$G$5:$G$2004,'Levantamento de Tempo'!$E$5:$E$2004,A45)/60</f>
        <v>0.75</v>
      </c>
      <c r="D45" s="30" t="n">
        <f aca="false">IF(B45=0,"-",C45*$B$6/B45)</f>
        <v>1.575</v>
      </c>
    </row>
    <row r="46" customFormat="false" ht="15" hidden="false" customHeight="false" outlineLevel="0" collapsed="false">
      <c r="A46" s="37" t="s">
        <v>153</v>
      </c>
      <c r="B46" s="29" t="n">
        <f aca="false">COUNTIF('Cadastro Mestre'!$Q$5:$Q$504,A46)</f>
        <v>0</v>
      </c>
      <c r="C46" s="30" t="n">
        <f aca="false">SUMIFS('Levantamento de Tempo'!$G$5:$G$2004,'Levantamento de Tempo'!$E$5:$E$2004,A46)/60</f>
        <v>0</v>
      </c>
      <c r="D46" s="30" t="str">
        <f aca="false">IF(B46=0,"-",C46*$B$6/B46)</f>
        <v>-</v>
      </c>
    </row>
    <row r="48" customFormat="false" ht="15" hidden="false" customHeight="false" outlineLevel="0" collapsed="false">
      <c r="A48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4F"/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8.5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3" t="s">
        <v>157</v>
      </c>
    </row>
    <row r="5" customFormat="false" ht="15" hidden="false" customHeight="false" outlineLevel="0" collapsed="false">
      <c r="A5" s="0" t="s">
        <v>158</v>
      </c>
      <c r="B5" s="38" t="n">
        <v>12</v>
      </c>
    </row>
    <row r="6" customFormat="false" ht="15" hidden="false" customHeight="false" outlineLevel="0" collapsed="false">
      <c r="A6" s="0" t="s">
        <v>159</v>
      </c>
      <c r="B6" s="39" t="n">
        <v>5500</v>
      </c>
      <c r="C6" s="40" t="n">
        <f aca="false">Equipe!$D$26</f>
        <v>0</v>
      </c>
      <c r="D6" s="2" t="s">
        <v>160</v>
      </c>
    </row>
    <row r="7" customFormat="false" ht="15" hidden="false" customHeight="false" outlineLevel="0" collapsed="false">
      <c r="A7" s="0" t="s">
        <v>161</v>
      </c>
      <c r="B7" s="38" t="n">
        <v>140</v>
      </c>
    </row>
    <row r="8" customFormat="false" ht="15" hidden="false" customHeight="false" outlineLevel="0" collapsed="false">
      <c r="A8" s="0" t="s">
        <v>162</v>
      </c>
      <c r="B8" s="27" t="s">
        <v>163</v>
      </c>
    </row>
    <row r="10" customFormat="false" ht="15" hidden="false" customHeight="false" outlineLevel="0" collapsed="false">
      <c r="A10" s="3" t="s">
        <v>164</v>
      </c>
    </row>
    <row r="11" customFormat="false" ht="33.75" hidden="false" customHeight="true" outlineLevel="0" collapsed="false">
      <c r="A11" s="10" t="s">
        <v>126</v>
      </c>
      <c r="B11" s="10" t="s">
        <v>165</v>
      </c>
      <c r="C11" s="10" t="s">
        <v>166</v>
      </c>
      <c r="D11" s="10" t="s">
        <v>167</v>
      </c>
      <c r="E11" s="10" t="s">
        <v>163</v>
      </c>
      <c r="F11" s="10" t="s">
        <v>168</v>
      </c>
      <c r="G11" s="10" t="s">
        <v>169</v>
      </c>
      <c r="H11" s="10" t="s">
        <v>170</v>
      </c>
    </row>
    <row r="12" customFormat="false" ht="15" hidden="false" customHeight="false" outlineLevel="0" collapsed="false">
      <c r="A12" s="26" t="s">
        <v>34</v>
      </c>
      <c r="B12" s="41" t="n">
        <v>0.14</v>
      </c>
      <c r="C12" s="42" t="n">
        <f aca="false">'Resumo Baseline'!D10</f>
        <v>0</v>
      </c>
      <c r="D12" s="41" t="n">
        <v>0.35</v>
      </c>
      <c r="E12" s="41" t="n">
        <v>0.5</v>
      </c>
      <c r="F12" s="41" t="n">
        <v>0.65</v>
      </c>
      <c r="G12" s="31" t="n">
        <f aca="false">INDEX(D12:F12,1,MATCH($B$8,$D$11:$F$11,0))</f>
        <v>0.5</v>
      </c>
      <c r="H12" s="30" t="n">
        <f aca="false">$B$5*$B$7*B12*G12</f>
        <v>117.6</v>
      </c>
    </row>
    <row r="13" customFormat="false" ht="15" hidden="false" customHeight="false" outlineLevel="0" collapsed="false">
      <c r="A13" s="26" t="s">
        <v>36</v>
      </c>
      <c r="B13" s="41" t="n">
        <v>0.32</v>
      </c>
      <c r="C13" s="42" t="n">
        <f aca="false">'Resumo Baseline'!D11</f>
        <v>1</v>
      </c>
      <c r="D13" s="41" t="n">
        <v>0.18</v>
      </c>
      <c r="E13" s="41" t="n">
        <v>0.25</v>
      </c>
      <c r="F13" s="41" t="n">
        <v>0.35</v>
      </c>
      <c r="G13" s="31" t="n">
        <f aca="false">INDEX(D13:F13,1,MATCH($B$8,$D$11:$F$11,0))</f>
        <v>0.25</v>
      </c>
      <c r="H13" s="30" t="n">
        <f aca="false">$B$5*$B$7*B13*G13</f>
        <v>134.4</v>
      </c>
    </row>
    <row r="14" customFormat="false" ht="15" hidden="false" customHeight="false" outlineLevel="0" collapsed="false">
      <c r="A14" s="26" t="s">
        <v>38</v>
      </c>
      <c r="B14" s="41" t="n">
        <v>0.11</v>
      </c>
      <c r="C14" s="42" t="n">
        <f aca="false">'Resumo Baseline'!D12</f>
        <v>0</v>
      </c>
      <c r="D14" s="41" t="n">
        <v>0.3</v>
      </c>
      <c r="E14" s="41" t="n">
        <v>0.45</v>
      </c>
      <c r="F14" s="41" t="n">
        <v>0.55</v>
      </c>
      <c r="G14" s="31" t="n">
        <f aca="false">INDEX(D14:F14,1,MATCH($B$8,$D$11:$F$11,0))</f>
        <v>0.45</v>
      </c>
      <c r="H14" s="30" t="n">
        <f aca="false">$B$5*$B$7*B14*G14</f>
        <v>83.16</v>
      </c>
    </row>
    <row r="15" customFormat="false" ht="15" hidden="false" customHeight="false" outlineLevel="0" collapsed="false">
      <c r="A15" s="26" t="s">
        <v>40</v>
      </c>
      <c r="B15" s="41" t="n">
        <v>0.12</v>
      </c>
      <c r="C15" s="42" t="n">
        <f aca="false">'Resumo Baseline'!D13</f>
        <v>0</v>
      </c>
      <c r="D15" s="41" t="n">
        <v>0.15</v>
      </c>
      <c r="E15" s="41" t="n">
        <v>0.25</v>
      </c>
      <c r="F15" s="41" t="n">
        <v>0.35</v>
      </c>
      <c r="G15" s="31" t="n">
        <f aca="false">INDEX(D15:F15,1,MATCH($B$8,$D$11:$F$11,0))</f>
        <v>0.25</v>
      </c>
      <c r="H15" s="30" t="n">
        <f aca="false">$B$5*$B$7*B15*G15</f>
        <v>50.4</v>
      </c>
    </row>
    <row r="16" customFormat="false" ht="15" hidden="false" customHeight="false" outlineLevel="0" collapsed="false">
      <c r="A16" s="26" t="s">
        <v>42</v>
      </c>
      <c r="B16" s="41" t="n">
        <v>0.12</v>
      </c>
      <c r="C16" s="42" t="n">
        <f aca="false">'Resumo Baseline'!D14</f>
        <v>0</v>
      </c>
      <c r="D16" s="41" t="n">
        <v>0.1</v>
      </c>
      <c r="E16" s="41" t="n">
        <v>0.15</v>
      </c>
      <c r="F16" s="41" t="n">
        <v>0.2</v>
      </c>
      <c r="G16" s="31" t="n">
        <f aca="false">INDEX(D16:F16,1,MATCH($B$8,$D$11:$F$11,0))</f>
        <v>0.15</v>
      </c>
      <c r="H16" s="30" t="n">
        <f aca="false">$B$5*$B$7*B16*G16</f>
        <v>30.24</v>
      </c>
    </row>
    <row r="17" customFormat="false" ht="15" hidden="false" customHeight="false" outlineLevel="0" collapsed="false">
      <c r="A17" s="26" t="s">
        <v>44</v>
      </c>
      <c r="B17" s="41" t="n">
        <v>0.11</v>
      </c>
      <c r="C17" s="42" t="n">
        <f aca="false">'Resumo Baseline'!D15</f>
        <v>0</v>
      </c>
      <c r="D17" s="41" t="n">
        <v>0.2</v>
      </c>
      <c r="E17" s="41" t="n">
        <v>0.3</v>
      </c>
      <c r="F17" s="41" t="n">
        <v>0.4</v>
      </c>
      <c r="G17" s="31" t="n">
        <f aca="false">INDEX(D17:F17,1,MATCH($B$8,$D$11:$F$11,0))</f>
        <v>0.3</v>
      </c>
      <c r="H17" s="30" t="n">
        <f aca="false">$B$5*$B$7*B17*G17</f>
        <v>55.44</v>
      </c>
    </row>
    <row r="18" customFormat="false" ht="15" hidden="false" customHeight="false" outlineLevel="0" collapsed="false">
      <c r="A18" s="26" t="s">
        <v>46</v>
      </c>
      <c r="B18" s="41" t="n">
        <v>0.08</v>
      </c>
      <c r="C18" s="42" t="n">
        <f aca="false">'Resumo Baseline'!D16</f>
        <v>0</v>
      </c>
      <c r="D18" s="41" t="n">
        <v>0</v>
      </c>
      <c r="E18" s="41" t="n">
        <v>0</v>
      </c>
      <c r="F18" s="41" t="n">
        <v>0</v>
      </c>
      <c r="G18" s="31" t="n">
        <f aca="false">INDEX(D18:F18,1,MATCH($B$8,$D$11:$F$11,0))</f>
        <v>0</v>
      </c>
      <c r="H18" s="30" t="n">
        <f aca="false">$B$5*$B$7*B18*G18</f>
        <v>0</v>
      </c>
    </row>
    <row r="19" customFormat="false" ht="15" hidden="false" customHeight="false" outlineLevel="0" collapsed="false">
      <c r="A19" s="32" t="s">
        <v>171</v>
      </c>
      <c r="B19" s="35" t="n">
        <f aca="false">SUM(B12:B18)</f>
        <v>1</v>
      </c>
      <c r="C19" s="35" t="n">
        <f aca="false">SUM(C12:C18)</f>
        <v>1</v>
      </c>
      <c r="D19" s="35" t="n">
        <f aca="false">SUMPRODUCT($B$12:$B$18,D12:D18)</f>
        <v>0.1916</v>
      </c>
      <c r="E19" s="35" t="n">
        <f aca="false">SUMPRODUCT($B$12:$B$18,E12:E18)</f>
        <v>0.2805</v>
      </c>
      <c r="F19" s="35" t="n">
        <f aca="false">SUMPRODUCT($B$12:$B$18,F12:F18)</f>
        <v>0.3735</v>
      </c>
      <c r="G19" s="35" t="n">
        <f aca="false">SUMPRODUCT(B12:B18,G12:G18)</f>
        <v>0.2805</v>
      </c>
      <c r="H19" s="34" t="n">
        <f aca="false">SUM(H12:H18)</f>
        <v>471.24</v>
      </c>
    </row>
    <row r="20" customFormat="false" ht="15" hidden="false" customHeight="false" outlineLevel="0" collapsed="false">
      <c r="A20" s="2" t="s">
        <v>172</v>
      </c>
      <c r="B20" s="15" t="str">
        <f aca="false">IF(ABS(B19-1)&lt;0.001,"OK","Ajuste: soma ≠ 100%")</f>
        <v>OK</v>
      </c>
    </row>
    <row r="21" customFormat="false" ht="15" hidden="false" customHeight="false" outlineLevel="0" collapsed="false">
      <c r="A21" s="2" t="s">
        <v>173</v>
      </c>
    </row>
    <row r="23" customFormat="false" ht="15" hidden="false" customHeight="false" outlineLevel="0" collapsed="false">
      <c r="A23" s="3" t="s">
        <v>174</v>
      </c>
    </row>
    <row r="24" customFormat="false" ht="15" hidden="false" customHeight="false" outlineLevel="0" collapsed="false">
      <c r="A24" s="43" t="s">
        <v>175</v>
      </c>
      <c r="B24" s="39" t="n">
        <v>7500</v>
      </c>
    </row>
    <row r="25" customFormat="false" ht="15" hidden="false" customHeight="false" outlineLevel="0" collapsed="false">
      <c r="A25" s="43" t="s">
        <v>176</v>
      </c>
      <c r="B25" s="39" t="n">
        <v>2500</v>
      </c>
    </row>
    <row r="26" customFormat="false" ht="15" hidden="false" customHeight="false" outlineLevel="0" collapsed="false">
      <c r="A26" s="43" t="s">
        <v>177</v>
      </c>
      <c r="B26" s="39" t="n">
        <v>800</v>
      </c>
    </row>
    <row r="27" customFormat="false" ht="15" hidden="false" customHeight="false" outlineLevel="0" collapsed="false">
      <c r="A27" s="43" t="s">
        <v>178</v>
      </c>
      <c r="B27" s="39" t="n">
        <v>800</v>
      </c>
    </row>
    <row r="28" customFormat="false" ht="15" hidden="false" customHeight="false" outlineLevel="0" collapsed="false">
      <c r="A28" s="43" t="s">
        <v>179</v>
      </c>
      <c r="B28" s="39" t="n">
        <v>0</v>
      </c>
    </row>
    <row r="29" customFormat="false" ht="15" hidden="false" customHeight="false" outlineLevel="0" collapsed="false">
      <c r="A29" s="43" t="s">
        <v>180</v>
      </c>
      <c r="B29" s="39" t="n">
        <v>40000</v>
      </c>
    </row>
    <row r="30" customFormat="false" ht="15" hidden="false" customHeight="false" outlineLevel="0" collapsed="false">
      <c r="A30" s="43" t="s">
        <v>181</v>
      </c>
      <c r="B30" s="38" t="n">
        <v>4</v>
      </c>
    </row>
    <row r="32" customFormat="false" ht="15" hidden="false" customHeight="false" outlineLevel="0" collapsed="false">
      <c r="A32" s="3" t="s">
        <v>182</v>
      </c>
    </row>
    <row r="33" customFormat="false" ht="15" hidden="false" customHeight="false" outlineLevel="0" collapsed="false">
      <c r="A33" s="43" t="s">
        <v>183</v>
      </c>
      <c r="B33" s="41" t="n">
        <v>0.1</v>
      </c>
    </row>
    <row r="34" customFormat="false" ht="15" hidden="false" customHeight="false" outlineLevel="0" collapsed="false">
      <c r="A34" s="43" t="s">
        <v>184</v>
      </c>
      <c r="B34" s="41" t="n">
        <v>0.4</v>
      </c>
    </row>
    <row r="35" customFormat="false" ht="15" hidden="false" customHeight="false" outlineLevel="0" collapsed="false">
      <c r="A35" s="43" t="s">
        <v>185</v>
      </c>
      <c r="B35" s="41" t="n">
        <v>0.7</v>
      </c>
    </row>
    <row r="36" customFormat="false" ht="15" hidden="false" customHeight="false" outlineLevel="0" collapsed="false">
      <c r="A36" s="43" t="s">
        <v>186</v>
      </c>
      <c r="B36" s="41" t="n">
        <v>1</v>
      </c>
    </row>
    <row r="38" customFormat="false" ht="15" hidden="false" customHeight="false" outlineLevel="0" collapsed="false">
      <c r="A38" s="3" t="s">
        <v>187</v>
      </c>
    </row>
    <row r="39" customFormat="false" ht="15" hidden="false" customHeight="false" outlineLevel="0" collapsed="false">
      <c r="A39" s="43" t="s">
        <v>188</v>
      </c>
      <c r="B39" s="44" t="n">
        <f aca="false">G19</f>
        <v>0.2805</v>
      </c>
    </row>
    <row r="40" customFormat="false" ht="15" hidden="false" customHeight="false" outlineLevel="0" collapsed="false">
      <c r="A40" s="43" t="s">
        <v>189</v>
      </c>
      <c r="B40" s="45" t="n">
        <f aca="false">H19</f>
        <v>471.24</v>
      </c>
    </row>
    <row r="41" customFormat="false" ht="15" hidden="false" customHeight="false" outlineLevel="0" collapsed="false">
      <c r="A41" s="15" t="s">
        <v>190</v>
      </c>
      <c r="B41" s="46" t="n">
        <f aca="false">IF($B$7=0,0,B40/$B$7)</f>
        <v>3.366</v>
      </c>
    </row>
    <row r="42" customFormat="false" ht="15" hidden="false" customHeight="false" outlineLevel="0" collapsed="false">
      <c r="A42" s="43" t="s">
        <v>191</v>
      </c>
      <c r="B42" s="47" t="n">
        <f aca="false">B41*$B$6*12</f>
        <v>222156</v>
      </c>
    </row>
    <row r="43" customFormat="false" ht="15" hidden="false" customHeight="false" outlineLevel="0" collapsed="false">
      <c r="A43" s="43" t="s">
        <v>192</v>
      </c>
      <c r="B43" s="47" t="n">
        <f aca="false">$B$28*12</f>
        <v>0</v>
      </c>
    </row>
    <row r="44" customFormat="false" ht="15" hidden="false" customHeight="false" outlineLevel="0" collapsed="false">
      <c r="A44" s="43" t="s">
        <v>193</v>
      </c>
      <c r="B44" s="47" t="n">
        <f aca="false">($B$24+$B$25+$B$26+$B$27)*12</f>
        <v>139200</v>
      </c>
    </row>
    <row r="45" customFormat="false" ht="15" hidden="false" customHeight="false" outlineLevel="0" collapsed="false">
      <c r="A45" s="15" t="s">
        <v>194</v>
      </c>
      <c r="B45" s="48" t="n">
        <f aca="false">B42+B43-B44</f>
        <v>82956</v>
      </c>
    </row>
    <row r="46" customFormat="false" ht="15" hidden="false" customHeight="false" outlineLevel="0" collapsed="false">
      <c r="A46" s="15" t="s">
        <v>195</v>
      </c>
      <c r="B46" s="49" t="n">
        <f aca="false">IF(COUNT(I50:I73)=0,"acima de 24 meses",MIN(I50:I73))</f>
        <v>21</v>
      </c>
    </row>
    <row r="47" customFormat="false" ht="15" hidden="false" customHeight="false" outlineLevel="0" collapsed="false">
      <c r="A47" s="2" t="s">
        <v>196</v>
      </c>
    </row>
    <row r="48" customFormat="false" ht="15" hidden="false" customHeight="false" outlineLevel="0" collapsed="false">
      <c r="A48" s="3" t="s">
        <v>197</v>
      </c>
    </row>
    <row r="49" customFormat="false" ht="30" hidden="false" customHeight="true" outlineLevel="0" collapsed="false">
      <c r="A49" s="10" t="s">
        <v>198</v>
      </c>
      <c r="B49" s="10" t="s">
        <v>199</v>
      </c>
      <c r="C49" s="10" t="s">
        <v>200</v>
      </c>
      <c r="D49" s="10" t="s">
        <v>201</v>
      </c>
      <c r="E49" s="10" t="s">
        <v>202</v>
      </c>
      <c r="F49" s="10" t="s">
        <v>203</v>
      </c>
      <c r="G49" s="10" t="s">
        <v>204</v>
      </c>
      <c r="H49" s="10" t="s">
        <v>205</v>
      </c>
      <c r="I49" s="10" t="s">
        <v>206</v>
      </c>
    </row>
    <row r="50" customFormat="false" ht="15" hidden="false" customHeight="false" outlineLevel="0" collapsed="false">
      <c r="A50" s="50" t="n">
        <v>1</v>
      </c>
      <c r="B50" s="31" t="n">
        <f aca="false">INDEX($B$33:$B$36,MIN(4,ROUNDUP(A50/3,0)))</f>
        <v>0.1</v>
      </c>
      <c r="C50" s="51" t="n">
        <f aca="false">$B$41*$B$6*B50</f>
        <v>1851.3</v>
      </c>
      <c r="D50" s="51" t="n">
        <f aca="false">$B$28*B50</f>
        <v>0</v>
      </c>
      <c r="E50" s="51" t="n">
        <f aca="false">$B$24+$B$25+$B$26+$B$27</f>
        <v>11600</v>
      </c>
      <c r="F50" s="51" t="n">
        <f aca="false">IF(A50&lt;=$B$30,$B$29/$B$30,0)</f>
        <v>10000</v>
      </c>
      <c r="G50" s="51" t="n">
        <f aca="false">C50+D50-E50-F50</f>
        <v>-19748.7</v>
      </c>
      <c r="H50" s="51" t="n">
        <f aca="false">G50</f>
        <v>-19748.7</v>
      </c>
      <c r="I50" s="29" t="str">
        <f aca="false">IF(H50&gt;=0,A50,"")</f>
        <v/>
      </c>
    </row>
    <row r="51" customFormat="false" ht="15" hidden="false" customHeight="false" outlineLevel="0" collapsed="false">
      <c r="A51" s="52" t="n">
        <f aca="false">A50+1</f>
        <v>2</v>
      </c>
      <c r="B51" s="53" t="n">
        <f aca="false">INDEX($B$33:$B$36,MIN(4,ROUNDUP(A51/3,0)))</f>
        <v>0.1</v>
      </c>
      <c r="C51" s="54" t="n">
        <f aca="false">$B$41*$B$6*B51</f>
        <v>1851.3</v>
      </c>
      <c r="D51" s="54" t="n">
        <f aca="false">$B$28*B51</f>
        <v>0</v>
      </c>
      <c r="E51" s="54" t="n">
        <f aca="false">$B$24+$B$25+$B$26+$B$27</f>
        <v>11600</v>
      </c>
      <c r="F51" s="54" t="n">
        <f aca="false">IF(A51&lt;=$B$30,$B$29/$B$30,0)</f>
        <v>10000</v>
      </c>
      <c r="G51" s="54" t="n">
        <f aca="false">C51+D51-E51-F51</f>
        <v>-19748.7</v>
      </c>
      <c r="H51" s="54" t="n">
        <f aca="false">H50+G51</f>
        <v>-39497.4</v>
      </c>
      <c r="I51" s="55" t="str">
        <f aca="false">IF(H51&gt;=0,A51,"")</f>
        <v/>
      </c>
    </row>
    <row r="52" customFormat="false" ht="15" hidden="false" customHeight="false" outlineLevel="0" collapsed="false">
      <c r="A52" s="50" t="n">
        <f aca="false">A51+1</f>
        <v>3</v>
      </c>
      <c r="B52" s="31" t="n">
        <f aca="false">INDEX($B$33:$B$36,MIN(4,ROUNDUP(A52/3,0)))</f>
        <v>0.1</v>
      </c>
      <c r="C52" s="51" t="n">
        <f aca="false">$B$41*$B$6*B52</f>
        <v>1851.3</v>
      </c>
      <c r="D52" s="51" t="n">
        <f aca="false">$B$28*B52</f>
        <v>0</v>
      </c>
      <c r="E52" s="51" t="n">
        <f aca="false">$B$24+$B$25+$B$26+$B$27</f>
        <v>11600</v>
      </c>
      <c r="F52" s="51" t="n">
        <f aca="false">IF(A52&lt;=$B$30,$B$29/$B$30,0)</f>
        <v>10000</v>
      </c>
      <c r="G52" s="51" t="n">
        <f aca="false">C52+D52-E52-F52</f>
        <v>-19748.7</v>
      </c>
      <c r="H52" s="51" t="n">
        <f aca="false">H51+G52</f>
        <v>-59246.1</v>
      </c>
      <c r="I52" s="29" t="str">
        <f aca="false">IF(H52&gt;=0,A52,"")</f>
        <v/>
      </c>
    </row>
    <row r="53" customFormat="false" ht="15" hidden="false" customHeight="false" outlineLevel="0" collapsed="false">
      <c r="A53" s="52" t="n">
        <f aca="false">A52+1</f>
        <v>4</v>
      </c>
      <c r="B53" s="53" t="n">
        <f aca="false">INDEX($B$33:$B$36,MIN(4,ROUNDUP(A53/3,0)))</f>
        <v>0.4</v>
      </c>
      <c r="C53" s="54" t="n">
        <f aca="false">$B$41*$B$6*B53</f>
        <v>7405.2</v>
      </c>
      <c r="D53" s="54" t="n">
        <f aca="false">$B$28*B53</f>
        <v>0</v>
      </c>
      <c r="E53" s="54" t="n">
        <f aca="false">$B$24+$B$25+$B$26+$B$27</f>
        <v>11600</v>
      </c>
      <c r="F53" s="54" t="n">
        <f aca="false">IF(A53&lt;=$B$30,$B$29/$B$30,0)</f>
        <v>10000</v>
      </c>
      <c r="G53" s="54" t="n">
        <f aca="false">C53+D53-E53-F53</f>
        <v>-14194.8</v>
      </c>
      <c r="H53" s="54" t="n">
        <f aca="false">H52+G53</f>
        <v>-73440.9</v>
      </c>
      <c r="I53" s="55" t="str">
        <f aca="false">IF(H53&gt;=0,A53,"")</f>
        <v/>
      </c>
    </row>
    <row r="54" customFormat="false" ht="15" hidden="false" customHeight="false" outlineLevel="0" collapsed="false">
      <c r="A54" s="50" t="n">
        <f aca="false">A53+1</f>
        <v>5</v>
      </c>
      <c r="B54" s="31" t="n">
        <f aca="false">INDEX($B$33:$B$36,MIN(4,ROUNDUP(A54/3,0)))</f>
        <v>0.4</v>
      </c>
      <c r="C54" s="51" t="n">
        <f aca="false">$B$41*$B$6*B54</f>
        <v>7405.2</v>
      </c>
      <c r="D54" s="51" t="n">
        <f aca="false">$B$28*B54</f>
        <v>0</v>
      </c>
      <c r="E54" s="51" t="n">
        <f aca="false">$B$24+$B$25+$B$26+$B$27</f>
        <v>11600</v>
      </c>
      <c r="F54" s="51" t="n">
        <f aca="false">IF(A54&lt;=$B$30,$B$29/$B$30,0)</f>
        <v>0</v>
      </c>
      <c r="G54" s="51" t="n">
        <f aca="false">C54+D54-E54-F54</f>
        <v>-4194.8</v>
      </c>
      <c r="H54" s="51" t="n">
        <f aca="false">H53+G54</f>
        <v>-77635.7</v>
      </c>
      <c r="I54" s="29" t="str">
        <f aca="false">IF(H54&gt;=0,A54,"")</f>
        <v/>
      </c>
    </row>
    <row r="55" customFormat="false" ht="15" hidden="false" customHeight="false" outlineLevel="0" collapsed="false">
      <c r="A55" s="52" t="n">
        <f aca="false">A54+1</f>
        <v>6</v>
      </c>
      <c r="B55" s="53" t="n">
        <f aca="false">INDEX($B$33:$B$36,MIN(4,ROUNDUP(A55/3,0)))</f>
        <v>0.4</v>
      </c>
      <c r="C55" s="54" t="n">
        <f aca="false">$B$41*$B$6*B55</f>
        <v>7405.2</v>
      </c>
      <c r="D55" s="54" t="n">
        <f aca="false">$B$28*B55</f>
        <v>0</v>
      </c>
      <c r="E55" s="54" t="n">
        <f aca="false">$B$24+$B$25+$B$26+$B$27</f>
        <v>11600</v>
      </c>
      <c r="F55" s="54" t="n">
        <f aca="false">IF(A55&lt;=$B$30,$B$29/$B$30,0)</f>
        <v>0</v>
      </c>
      <c r="G55" s="54" t="n">
        <f aca="false">C55+D55-E55-F55</f>
        <v>-4194.8</v>
      </c>
      <c r="H55" s="54" t="n">
        <f aca="false">H54+G55</f>
        <v>-81830.5</v>
      </c>
      <c r="I55" s="55" t="str">
        <f aca="false">IF(H55&gt;=0,A55,"")</f>
        <v/>
      </c>
    </row>
    <row r="56" customFormat="false" ht="15" hidden="false" customHeight="false" outlineLevel="0" collapsed="false">
      <c r="A56" s="50" t="n">
        <f aca="false">A55+1</f>
        <v>7</v>
      </c>
      <c r="B56" s="31" t="n">
        <f aca="false">INDEX($B$33:$B$36,MIN(4,ROUNDUP(A56/3,0)))</f>
        <v>0.7</v>
      </c>
      <c r="C56" s="51" t="n">
        <f aca="false">$B$41*$B$6*B56</f>
        <v>12959.1</v>
      </c>
      <c r="D56" s="51" t="n">
        <f aca="false">$B$28*B56</f>
        <v>0</v>
      </c>
      <c r="E56" s="51" t="n">
        <f aca="false">$B$24+$B$25+$B$26+$B$27</f>
        <v>11600</v>
      </c>
      <c r="F56" s="51" t="n">
        <f aca="false">IF(A56&lt;=$B$30,$B$29/$B$30,0)</f>
        <v>0</v>
      </c>
      <c r="G56" s="51" t="n">
        <f aca="false">C56+D56-E56-F56</f>
        <v>1359.1</v>
      </c>
      <c r="H56" s="51" t="n">
        <f aca="false">H55+G56</f>
        <v>-80471.4</v>
      </c>
      <c r="I56" s="29" t="str">
        <f aca="false">IF(H56&gt;=0,A56,"")</f>
        <v/>
      </c>
    </row>
    <row r="57" customFormat="false" ht="15" hidden="false" customHeight="false" outlineLevel="0" collapsed="false">
      <c r="A57" s="52" t="n">
        <f aca="false">A56+1</f>
        <v>8</v>
      </c>
      <c r="B57" s="53" t="n">
        <f aca="false">INDEX($B$33:$B$36,MIN(4,ROUNDUP(A57/3,0)))</f>
        <v>0.7</v>
      </c>
      <c r="C57" s="54" t="n">
        <f aca="false">$B$41*$B$6*B57</f>
        <v>12959.1</v>
      </c>
      <c r="D57" s="54" t="n">
        <f aca="false">$B$28*B57</f>
        <v>0</v>
      </c>
      <c r="E57" s="54" t="n">
        <f aca="false">$B$24+$B$25+$B$26+$B$27</f>
        <v>11600</v>
      </c>
      <c r="F57" s="54" t="n">
        <f aca="false">IF(A57&lt;=$B$30,$B$29/$B$30,0)</f>
        <v>0</v>
      </c>
      <c r="G57" s="54" t="n">
        <f aca="false">C57+D57-E57-F57</f>
        <v>1359.1</v>
      </c>
      <c r="H57" s="54" t="n">
        <f aca="false">H56+G57</f>
        <v>-79112.3</v>
      </c>
      <c r="I57" s="55" t="str">
        <f aca="false">IF(H57&gt;=0,A57,"")</f>
        <v/>
      </c>
    </row>
    <row r="58" customFormat="false" ht="15" hidden="false" customHeight="false" outlineLevel="0" collapsed="false">
      <c r="A58" s="50" t="n">
        <f aca="false">A57+1</f>
        <v>9</v>
      </c>
      <c r="B58" s="31" t="n">
        <f aca="false">INDEX($B$33:$B$36,MIN(4,ROUNDUP(A58/3,0)))</f>
        <v>0.7</v>
      </c>
      <c r="C58" s="51" t="n">
        <f aca="false">$B$41*$B$6*B58</f>
        <v>12959.1</v>
      </c>
      <c r="D58" s="51" t="n">
        <f aca="false">$B$28*B58</f>
        <v>0</v>
      </c>
      <c r="E58" s="51" t="n">
        <f aca="false">$B$24+$B$25+$B$26+$B$27</f>
        <v>11600</v>
      </c>
      <c r="F58" s="51" t="n">
        <f aca="false">IF(A58&lt;=$B$30,$B$29/$B$30,0)</f>
        <v>0</v>
      </c>
      <c r="G58" s="51" t="n">
        <f aca="false">C58+D58-E58-F58</f>
        <v>1359.1</v>
      </c>
      <c r="H58" s="51" t="n">
        <f aca="false">H57+G58</f>
        <v>-77753.2</v>
      </c>
      <c r="I58" s="29" t="str">
        <f aca="false">IF(H58&gt;=0,A58,"")</f>
        <v/>
      </c>
    </row>
    <row r="59" customFormat="false" ht="15" hidden="false" customHeight="false" outlineLevel="0" collapsed="false">
      <c r="A59" s="52" t="n">
        <f aca="false">A58+1</f>
        <v>10</v>
      </c>
      <c r="B59" s="53" t="n">
        <f aca="false">INDEX($B$33:$B$36,MIN(4,ROUNDUP(A59/3,0)))</f>
        <v>1</v>
      </c>
      <c r="C59" s="54" t="n">
        <f aca="false">$B$41*$B$6*B59</f>
        <v>18513</v>
      </c>
      <c r="D59" s="54" t="n">
        <f aca="false">$B$28*B59</f>
        <v>0</v>
      </c>
      <c r="E59" s="54" t="n">
        <f aca="false">$B$24+$B$25+$B$26+$B$27</f>
        <v>11600</v>
      </c>
      <c r="F59" s="54" t="n">
        <f aca="false">IF(A59&lt;=$B$30,$B$29/$B$30,0)</f>
        <v>0</v>
      </c>
      <c r="G59" s="54" t="n">
        <f aca="false">C59+D59-E59-F59</f>
        <v>6913</v>
      </c>
      <c r="H59" s="54" t="n">
        <f aca="false">H58+G59</f>
        <v>-70840.2</v>
      </c>
      <c r="I59" s="55" t="str">
        <f aca="false">IF(H59&gt;=0,A59,"")</f>
        <v/>
      </c>
    </row>
    <row r="60" customFormat="false" ht="15" hidden="false" customHeight="false" outlineLevel="0" collapsed="false">
      <c r="A60" s="50" t="n">
        <f aca="false">A59+1</f>
        <v>11</v>
      </c>
      <c r="B60" s="31" t="n">
        <f aca="false">INDEX($B$33:$B$36,MIN(4,ROUNDUP(A60/3,0)))</f>
        <v>1</v>
      </c>
      <c r="C60" s="51" t="n">
        <f aca="false">$B$41*$B$6*B60</f>
        <v>18513</v>
      </c>
      <c r="D60" s="51" t="n">
        <f aca="false">$B$28*B60</f>
        <v>0</v>
      </c>
      <c r="E60" s="51" t="n">
        <f aca="false">$B$24+$B$25+$B$26+$B$27</f>
        <v>11600</v>
      </c>
      <c r="F60" s="51" t="n">
        <f aca="false">IF(A60&lt;=$B$30,$B$29/$B$30,0)</f>
        <v>0</v>
      </c>
      <c r="G60" s="51" t="n">
        <f aca="false">C60+D60-E60-F60</f>
        <v>6913</v>
      </c>
      <c r="H60" s="51" t="n">
        <f aca="false">H59+G60</f>
        <v>-63927.2</v>
      </c>
      <c r="I60" s="29" t="str">
        <f aca="false">IF(H60&gt;=0,A60,"")</f>
        <v/>
      </c>
    </row>
    <row r="61" customFormat="false" ht="15" hidden="false" customHeight="false" outlineLevel="0" collapsed="false">
      <c r="A61" s="52" t="n">
        <f aca="false">A60+1</f>
        <v>12</v>
      </c>
      <c r="B61" s="53" t="n">
        <f aca="false">INDEX($B$33:$B$36,MIN(4,ROUNDUP(A61/3,0)))</f>
        <v>1</v>
      </c>
      <c r="C61" s="54" t="n">
        <f aca="false">$B$41*$B$6*B61</f>
        <v>18513</v>
      </c>
      <c r="D61" s="54" t="n">
        <f aca="false">$B$28*B61</f>
        <v>0</v>
      </c>
      <c r="E61" s="54" t="n">
        <f aca="false">$B$24+$B$25+$B$26+$B$27</f>
        <v>11600</v>
      </c>
      <c r="F61" s="54" t="n">
        <f aca="false">IF(A61&lt;=$B$30,$B$29/$B$30,0)</f>
        <v>0</v>
      </c>
      <c r="G61" s="54" t="n">
        <f aca="false">C61+D61-E61-F61</f>
        <v>6913</v>
      </c>
      <c r="H61" s="54" t="n">
        <f aca="false">H60+G61</f>
        <v>-57014.2</v>
      </c>
      <c r="I61" s="55" t="str">
        <f aca="false">IF(H61&gt;=0,A61,"")</f>
        <v/>
      </c>
    </row>
    <row r="62" customFormat="false" ht="15" hidden="false" customHeight="false" outlineLevel="0" collapsed="false">
      <c r="A62" s="50" t="n">
        <f aca="false">A61+1</f>
        <v>13</v>
      </c>
      <c r="B62" s="31" t="n">
        <f aca="false">INDEX($B$33:$B$36,MIN(4,ROUNDUP(A62/3,0)))</f>
        <v>1</v>
      </c>
      <c r="C62" s="51" t="n">
        <f aca="false">$B$41*$B$6*B62</f>
        <v>18513</v>
      </c>
      <c r="D62" s="51" t="n">
        <f aca="false">$B$28*B62</f>
        <v>0</v>
      </c>
      <c r="E62" s="51" t="n">
        <f aca="false">$B$24+$B$25+$B$26+$B$27</f>
        <v>11600</v>
      </c>
      <c r="F62" s="51" t="n">
        <f aca="false">IF(A62&lt;=$B$30,$B$29/$B$30,0)</f>
        <v>0</v>
      </c>
      <c r="G62" s="51" t="n">
        <f aca="false">C62+D62-E62-F62</f>
        <v>6913</v>
      </c>
      <c r="H62" s="51" t="n">
        <f aca="false">H61+G62</f>
        <v>-50101.2</v>
      </c>
      <c r="I62" s="29" t="str">
        <f aca="false">IF(H62&gt;=0,A62,"")</f>
        <v/>
      </c>
    </row>
    <row r="63" customFormat="false" ht="15" hidden="false" customHeight="false" outlineLevel="0" collapsed="false">
      <c r="A63" s="52" t="n">
        <f aca="false">A62+1</f>
        <v>14</v>
      </c>
      <c r="B63" s="53" t="n">
        <f aca="false">INDEX($B$33:$B$36,MIN(4,ROUNDUP(A63/3,0)))</f>
        <v>1</v>
      </c>
      <c r="C63" s="54" t="n">
        <f aca="false">$B$41*$B$6*B63</f>
        <v>18513</v>
      </c>
      <c r="D63" s="54" t="n">
        <f aca="false">$B$28*B63</f>
        <v>0</v>
      </c>
      <c r="E63" s="54" t="n">
        <f aca="false">$B$24+$B$25+$B$26+$B$27</f>
        <v>11600</v>
      </c>
      <c r="F63" s="54" t="n">
        <f aca="false">IF(A63&lt;=$B$30,$B$29/$B$30,0)</f>
        <v>0</v>
      </c>
      <c r="G63" s="54" t="n">
        <f aca="false">C63+D63-E63-F63</f>
        <v>6913</v>
      </c>
      <c r="H63" s="54" t="n">
        <f aca="false">H62+G63</f>
        <v>-43188.2</v>
      </c>
      <c r="I63" s="55" t="str">
        <f aca="false">IF(H63&gt;=0,A63,"")</f>
        <v/>
      </c>
    </row>
    <row r="64" customFormat="false" ht="15" hidden="false" customHeight="false" outlineLevel="0" collapsed="false">
      <c r="A64" s="50" t="n">
        <f aca="false">A63+1</f>
        <v>15</v>
      </c>
      <c r="B64" s="31" t="n">
        <f aca="false">INDEX($B$33:$B$36,MIN(4,ROUNDUP(A64/3,0)))</f>
        <v>1</v>
      </c>
      <c r="C64" s="51" t="n">
        <f aca="false">$B$41*$B$6*B64</f>
        <v>18513</v>
      </c>
      <c r="D64" s="51" t="n">
        <f aca="false">$B$28*B64</f>
        <v>0</v>
      </c>
      <c r="E64" s="51" t="n">
        <f aca="false">$B$24+$B$25+$B$26+$B$27</f>
        <v>11600</v>
      </c>
      <c r="F64" s="51" t="n">
        <f aca="false">IF(A64&lt;=$B$30,$B$29/$B$30,0)</f>
        <v>0</v>
      </c>
      <c r="G64" s="51" t="n">
        <f aca="false">C64+D64-E64-F64</f>
        <v>6913</v>
      </c>
      <c r="H64" s="51" t="n">
        <f aca="false">H63+G64</f>
        <v>-36275.2</v>
      </c>
      <c r="I64" s="29" t="str">
        <f aca="false">IF(H64&gt;=0,A64,"")</f>
        <v/>
      </c>
    </row>
    <row r="65" customFormat="false" ht="15" hidden="false" customHeight="false" outlineLevel="0" collapsed="false">
      <c r="A65" s="52" t="n">
        <f aca="false">A64+1</f>
        <v>16</v>
      </c>
      <c r="B65" s="53" t="n">
        <f aca="false">INDEX($B$33:$B$36,MIN(4,ROUNDUP(A65/3,0)))</f>
        <v>1</v>
      </c>
      <c r="C65" s="54" t="n">
        <f aca="false">$B$41*$B$6*B65</f>
        <v>18513</v>
      </c>
      <c r="D65" s="54" t="n">
        <f aca="false">$B$28*B65</f>
        <v>0</v>
      </c>
      <c r="E65" s="54" t="n">
        <f aca="false">$B$24+$B$25+$B$26+$B$27</f>
        <v>11600</v>
      </c>
      <c r="F65" s="54" t="n">
        <f aca="false">IF(A65&lt;=$B$30,$B$29/$B$30,0)</f>
        <v>0</v>
      </c>
      <c r="G65" s="54" t="n">
        <f aca="false">C65+D65-E65-F65</f>
        <v>6913</v>
      </c>
      <c r="H65" s="54" t="n">
        <f aca="false">H64+G65</f>
        <v>-29362.2</v>
      </c>
      <c r="I65" s="55" t="str">
        <f aca="false">IF(H65&gt;=0,A65,"")</f>
        <v/>
      </c>
    </row>
    <row r="66" customFormat="false" ht="15" hidden="false" customHeight="false" outlineLevel="0" collapsed="false">
      <c r="A66" s="50" t="n">
        <f aca="false">A65+1</f>
        <v>17</v>
      </c>
      <c r="B66" s="31" t="n">
        <f aca="false">INDEX($B$33:$B$36,MIN(4,ROUNDUP(A66/3,0)))</f>
        <v>1</v>
      </c>
      <c r="C66" s="51" t="n">
        <f aca="false">$B$41*$B$6*B66</f>
        <v>18513</v>
      </c>
      <c r="D66" s="51" t="n">
        <f aca="false">$B$28*B66</f>
        <v>0</v>
      </c>
      <c r="E66" s="51" t="n">
        <f aca="false">$B$24+$B$25+$B$26+$B$27</f>
        <v>11600</v>
      </c>
      <c r="F66" s="51" t="n">
        <f aca="false">IF(A66&lt;=$B$30,$B$29/$B$30,0)</f>
        <v>0</v>
      </c>
      <c r="G66" s="51" t="n">
        <f aca="false">C66+D66-E66-F66</f>
        <v>6913</v>
      </c>
      <c r="H66" s="51" t="n">
        <f aca="false">H65+G66</f>
        <v>-22449.2</v>
      </c>
      <c r="I66" s="29" t="str">
        <f aca="false">IF(H66&gt;=0,A66,"")</f>
        <v/>
      </c>
    </row>
    <row r="67" customFormat="false" ht="15" hidden="false" customHeight="false" outlineLevel="0" collapsed="false">
      <c r="A67" s="52" t="n">
        <f aca="false">A66+1</f>
        <v>18</v>
      </c>
      <c r="B67" s="53" t="n">
        <f aca="false">INDEX($B$33:$B$36,MIN(4,ROUNDUP(A67/3,0)))</f>
        <v>1</v>
      </c>
      <c r="C67" s="54" t="n">
        <f aca="false">$B$41*$B$6*B67</f>
        <v>18513</v>
      </c>
      <c r="D67" s="54" t="n">
        <f aca="false">$B$28*B67</f>
        <v>0</v>
      </c>
      <c r="E67" s="54" t="n">
        <f aca="false">$B$24+$B$25+$B$26+$B$27</f>
        <v>11600</v>
      </c>
      <c r="F67" s="54" t="n">
        <f aca="false">IF(A67&lt;=$B$30,$B$29/$B$30,0)</f>
        <v>0</v>
      </c>
      <c r="G67" s="54" t="n">
        <f aca="false">C67+D67-E67-F67</f>
        <v>6913</v>
      </c>
      <c r="H67" s="54" t="n">
        <f aca="false">H66+G67</f>
        <v>-15536.2</v>
      </c>
      <c r="I67" s="55" t="str">
        <f aca="false">IF(H67&gt;=0,A67,"")</f>
        <v/>
      </c>
    </row>
    <row r="68" customFormat="false" ht="15" hidden="false" customHeight="false" outlineLevel="0" collapsed="false">
      <c r="A68" s="50" t="n">
        <f aca="false">A67+1</f>
        <v>19</v>
      </c>
      <c r="B68" s="31" t="n">
        <f aca="false">INDEX($B$33:$B$36,MIN(4,ROUNDUP(A68/3,0)))</f>
        <v>1</v>
      </c>
      <c r="C68" s="51" t="n">
        <f aca="false">$B$41*$B$6*B68</f>
        <v>18513</v>
      </c>
      <c r="D68" s="51" t="n">
        <f aca="false">$B$28*B68</f>
        <v>0</v>
      </c>
      <c r="E68" s="51" t="n">
        <f aca="false">$B$24+$B$25+$B$26+$B$27</f>
        <v>11600</v>
      </c>
      <c r="F68" s="51" t="n">
        <f aca="false">IF(A68&lt;=$B$30,$B$29/$B$30,0)</f>
        <v>0</v>
      </c>
      <c r="G68" s="51" t="n">
        <f aca="false">C68+D68-E68-F68</f>
        <v>6913</v>
      </c>
      <c r="H68" s="51" t="n">
        <f aca="false">H67+G68</f>
        <v>-8623.20000000001</v>
      </c>
      <c r="I68" s="29" t="str">
        <f aca="false">IF(H68&gt;=0,A68,"")</f>
        <v/>
      </c>
    </row>
    <row r="69" customFormat="false" ht="15" hidden="false" customHeight="false" outlineLevel="0" collapsed="false">
      <c r="A69" s="52" t="n">
        <f aca="false">A68+1</f>
        <v>20</v>
      </c>
      <c r="B69" s="53" t="n">
        <f aca="false">INDEX($B$33:$B$36,MIN(4,ROUNDUP(A69/3,0)))</f>
        <v>1</v>
      </c>
      <c r="C69" s="54" t="n">
        <f aca="false">$B$41*$B$6*B69</f>
        <v>18513</v>
      </c>
      <c r="D69" s="54" t="n">
        <f aca="false">$B$28*B69</f>
        <v>0</v>
      </c>
      <c r="E69" s="54" t="n">
        <f aca="false">$B$24+$B$25+$B$26+$B$27</f>
        <v>11600</v>
      </c>
      <c r="F69" s="54" t="n">
        <f aca="false">IF(A69&lt;=$B$30,$B$29/$B$30,0)</f>
        <v>0</v>
      </c>
      <c r="G69" s="54" t="n">
        <f aca="false">C69+D69-E69-F69</f>
        <v>6913</v>
      </c>
      <c r="H69" s="54" t="n">
        <f aca="false">H68+G69</f>
        <v>-1710.20000000001</v>
      </c>
      <c r="I69" s="55" t="str">
        <f aca="false">IF(H69&gt;=0,A69,"")</f>
        <v/>
      </c>
    </row>
    <row r="70" customFormat="false" ht="15" hidden="false" customHeight="false" outlineLevel="0" collapsed="false">
      <c r="A70" s="50" t="n">
        <f aca="false">A69+1</f>
        <v>21</v>
      </c>
      <c r="B70" s="31" t="n">
        <f aca="false">INDEX($B$33:$B$36,MIN(4,ROUNDUP(A70/3,0)))</f>
        <v>1</v>
      </c>
      <c r="C70" s="51" t="n">
        <f aca="false">$B$41*$B$6*B70</f>
        <v>18513</v>
      </c>
      <c r="D70" s="51" t="n">
        <f aca="false">$B$28*B70</f>
        <v>0</v>
      </c>
      <c r="E70" s="51" t="n">
        <f aca="false">$B$24+$B$25+$B$26+$B$27</f>
        <v>11600</v>
      </c>
      <c r="F70" s="51" t="n">
        <f aca="false">IF(A70&lt;=$B$30,$B$29/$B$30,0)</f>
        <v>0</v>
      </c>
      <c r="G70" s="51" t="n">
        <f aca="false">C70+D70-E70-F70</f>
        <v>6913</v>
      </c>
      <c r="H70" s="51" t="n">
        <f aca="false">H69+G70</f>
        <v>5202.79999999999</v>
      </c>
      <c r="I70" s="29" t="n">
        <f aca="false">IF(H70&gt;=0,A70,"")</f>
        <v>21</v>
      </c>
    </row>
    <row r="71" customFormat="false" ht="15" hidden="false" customHeight="false" outlineLevel="0" collapsed="false">
      <c r="A71" s="52" t="n">
        <f aca="false">A70+1</f>
        <v>22</v>
      </c>
      <c r="B71" s="53" t="n">
        <f aca="false">INDEX($B$33:$B$36,MIN(4,ROUNDUP(A71/3,0)))</f>
        <v>1</v>
      </c>
      <c r="C71" s="54" t="n">
        <f aca="false">$B$41*$B$6*B71</f>
        <v>18513</v>
      </c>
      <c r="D71" s="54" t="n">
        <f aca="false">$B$28*B71</f>
        <v>0</v>
      </c>
      <c r="E71" s="54" t="n">
        <f aca="false">$B$24+$B$25+$B$26+$B$27</f>
        <v>11600</v>
      </c>
      <c r="F71" s="54" t="n">
        <f aca="false">IF(A71&lt;=$B$30,$B$29/$B$30,0)</f>
        <v>0</v>
      </c>
      <c r="G71" s="54" t="n">
        <f aca="false">C71+D71-E71-F71</f>
        <v>6913</v>
      </c>
      <c r="H71" s="54" t="n">
        <f aca="false">H70+G71</f>
        <v>12115.8</v>
      </c>
      <c r="I71" s="55" t="n">
        <f aca="false">IF(H71&gt;=0,A71,"")</f>
        <v>22</v>
      </c>
    </row>
    <row r="72" customFormat="false" ht="15" hidden="false" customHeight="false" outlineLevel="0" collapsed="false">
      <c r="A72" s="50" t="n">
        <f aca="false">A71+1</f>
        <v>23</v>
      </c>
      <c r="B72" s="31" t="n">
        <f aca="false">INDEX($B$33:$B$36,MIN(4,ROUNDUP(A72/3,0)))</f>
        <v>1</v>
      </c>
      <c r="C72" s="51" t="n">
        <f aca="false">$B$41*$B$6*B72</f>
        <v>18513</v>
      </c>
      <c r="D72" s="51" t="n">
        <f aca="false">$B$28*B72</f>
        <v>0</v>
      </c>
      <c r="E72" s="51" t="n">
        <f aca="false">$B$24+$B$25+$B$26+$B$27</f>
        <v>11600</v>
      </c>
      <c r="F72" s="51" t="n">
        <f aca="false">IF(A72&lt;=$B$30,$B$29/$B$30,0)</f>
        <v>0</v>
      </c>
      <c r="G72" s="51" t="n">
        <f aca="false">C72+D72-E72-F72</f>
        <v>6913</v>
      </c>
      <c r="H72" s="51" t="n">
        <f aca="false">H71+G72</f>
        <v>19028.8</v>
      </c>
      <c r="I72" s="29" t="n">
        <f aca="false">IF(H72&gt;=0,A72,"")</f>
        <v>23</v>
      </c>
    </row>
    <row r="73" customFormat="false" ht="15" hidden="false" customHeight="false" outlineLevel="0" collapsed="false">
      <c r="A73" s="52" t="n">
        <f aca="false">A72+1</f>
        <v>24</v>
      </c>
      <c r="B73" s="53" t="n">
        <f aca="false">INDEX($B$33:$B$36,MIN(4,ROUNDUP(A73/3,0)))</f>
        <v>1</v>
      </c>
      <c r="C73" s="54" t="n">
        <f aca="false">$B$41*$B$6*B73</f>
        <v>18513</v>
      </c>
      <c r="D73" s="54" t="n">
        <f aca="false">$B$28*B73</f>
        <v>0</v>
      </c>
      <c r="E73" s="54" t="n">
        <f aca="false">$B$24+$B$25+$B$26+$B$27</f>
        <v>11600</v>
      </c>
      <c r="F73" s="54" t="n">
        <f aca="false">IF(A73&lt;=$B$30,$B$29/$B$30,0)</f>
        <v>0</v>
      </c>
      <c r="G73" s="54" t="n">
        <f aca="false">C73+D73-E73-F73</f>
        <v>6913</v>
      </c>
      <c r="H73" s="54" t="n">
        <f aca="false">H72+G73</f>
        <v>25941.8</v>
      </c>
      <c r="I73" s="55" t="n">
        <f aca="false">IF(H73&gt;=0,A73,"")</f>
        <v>24</v>
      </c>
    </row>
  </sheetData>
  <conditionalFormatting sqref="H50:H73">
    <cfRule type="cellIs" priority="2" operator="greaterThanOrEqual" aboveAverage="0" equalAverage="0" bottom="0" percent="0" rank="0" text="" dxfId="7">
      <formula>0</formula>
    </cfRule>
  </conditionalFormatting>
  <dataValidations count="1">
    <dataValidation allowBlank="true" error="Escolha um valor da lista." errorStyle="stop" errorTitle="Valor inválido" operator="between" showDropDown="false" showErrorMessage="true" showInputMessage="false" sqref="B8" type="list">
      <formula1>"Conservador,Base,Otimista"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6"/>
    <col collapsed="false" customWidth="true" hidden="false" outlineLevel="0" max="12" min="11" style="0" width="12"/>
    <col collapsed="false" customWidth="true" hidden="false" outlineLevel="0" max="13" min="13" style="0" width="30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30"/>
  </cols>
  <sheetData>
    <row r="1" customFormat="false" ht="18.5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31.5" hidden="false" customHeight="true" outlineLevel="0" collapsed="false">
      <c r="A4" s="10" t="s">
        <v>209</v>
      </c>
      <c r="B4" s="10" t="s">
        <v>210</v>
      </c>
      <c r="C4" s="10" t="s">
        <v>211</v>
      </c>
      <c r="D4" s="10" t="s">
        <v>212</v>
      </c>
      <c r="E4" s="10" t="s">
        <v>213</v>
      </c>
      <c r="F4" s="10" t="s">
        <v>214</v>
      </c>
      <c r="G4" s="10" t="s">
        <v>215</v>
      </c>
      <c r="H4" s="10" t="s">
        <v>216</v>
      </c>
      <c r="I4" s="10" t="s">
        <v>217</v>
      </c>
      <c r="J4" s="10" t="s">
        <v>218</v>
      </c>
      <c r="K4" s="10" t="s">
        <v>219</v>
      </c>
      <c r="L4" s="10" t="s">
        <v>220</v>
      </c>
      <c r="M4" s="10" t="s">
        <v>221</v>
      </c>
      <c r="N4" s="10" t="s">
        <v>222</v>
      </c>
      <c r="O4" s="10" t="s">
        <v>223</v>
      </c>
      <c r="P4" s="10" t="s">
        <v>224</v>
      </c>
      <c r="Q4" s="10" t="s">
        <v>108</v>
      </c>
    </row>
    <row r="5" customFormat="false" ht="23.85" hidden="false" customHeight="false" outlineLevel="0" collapsed="false">
      <c r="A5" s="56" t="s">
        <v>225</v>
      </c>
      <c r="B5" s="56" t="s">
        <v>226</v>
      </c>
      <c r="C5" s="56" t="s">
        <v>227</v>
      </c>
      <c r="D5" s="56" t="s">
        <v>228</v>
      </c>
      <c r="E5" s="56" t="s">
        <v>229</v>
      </c>
      <c r="F5" s="56" t="s">
        <v>230</v>
      </c>
      <c r="G5" s="56" t="s">
        <v>231</v>
      </c>
      <c r="H5" s="56" t="s">
        <v>232</v>
      </c>
      <c r="I5" s="56" t="s">
        <v>233</v>
      </c>
      <c r="J5" s="57" t="n">
        <v>1</v>
      </c>
      <c r="K5" s="56" t="s">
        <v>234</v>
      </c>
      <c r="L5" s="56" t="s">
        <v>235</v>
      </c>
      <c r="M5" s="56"/>
      <c r="N5" s="58" t="n">
        <f aca="false">IF(H5="Alto",3,IF(H5="Médio",2,1))*2+4-IF(I5="Alto",3,IF(I5="Médio",2,1))</f>
        <v>9</v>
      </c>
      <c r="O5" s="59" t="s">
        <v>236</v>
      </c>
      <c r="P5" s="59"/>
      <c r="Q5" s="59"/>
    </row>
    <row r="6" customFormat="false" ht="23.85" hidden="false" customHeight="false" outlineLevel="0" collapsed="false">
      <c r="A6" s="60" t="s">
        <v>237</v>
      </c>
      <c r="B6" s="60" t="s">
        <v>226</v>
      </c>
      <c r="C6" s="60" t="s">
        <v>238</v>
      </c>
      <c r="D6" s="60" t="s">
        <v>239</v>
      </c>
      <c r="E6" s="60" t="s">
        <v>240</v>
      </c>
      <c r="F6" s="60" t="s">
        <v>230</v>
      </c>
      <c r="G6" s="60" t="s">
        <v>230</v>
      </c>
      <c r="H6" s="60" t="s">
        <v>232</v>
      </c>
      <c r="I6" s="60" t="s">
        <v>233</v>
      </c>
      <c r="J6" s="61" t="n">
        <v>1</v>
      </c>
      <c r="K6" s="60" t="s">
        <v>241</v>
      </c>
      <c r="L6" s="60" t="s">
        <v>235</v>
      </c>
      <c r="M6" s="60"/>
      <c r="N6" s="62" t="n">
        <f aca="false">IF(H6="Alto",3,IF(H6="Médio",2,1))*2+4-IF(I6="Alto",3,IF(I6="Médio",2,1))</f>
        <v>9</v>
      </c>
      <c r="O6" s="59" t="s">
        <v>236</v>
      </c>
      <c r="P6" s="59"/>
      <c r="Q6" s="59"/>
    </row>
    <row r="7" customFormat="false" ht="23.85" hidden="false" customHeight="false" outlineLevel="0" collapsed="false">
      <c r="A7" s="56" t="s">
        <v>242</v>
      </c>
      <c r="B7" s="56" t="s">
        <v>226</v>
      </c>
      <c r="C7" s="56" t="s">
        <v>243</v>
      </c>
      <c r="D7" s="56" t="s">
        <v>244</v>
      </c>
      <c r="E7" s="56" t="s">
        <v>245</v>
      </c>
      <c r="F7" s="56" t="s">
        <v>230</v>
      </c>
      <c r="G7" s="56" t="s">
        <v>230</v>
      </c>
      <c r="H7" s="56" t="s">
        <v>232</v>
      </c>
      <c r="I7" s="56" t="s">
        <v>233</v>
      </c>
      <c r="J7" s="57" t="n">
        <v>1</v>
      </c>
      <c r="K7" s="56" t="s">
        <v>241</v>
      </c>
      <c r="L7" s="56" t="s">
        <v>235</v>
      </c>
      <c r="M7" s="56"/>
      <c r="N7" s="58" t="n">
        <f aca="false">IF(H7="Alto",3,IF(H7="Médio",2,1))*2+4-IF(I7="Alto",3,IF(I7="Médio",2,1))</f>
        <v>9</v>
      </c>
      <c r="O7" s="59" t="s">
        <v>236</v>
      </c>
      <c r="P7" s="59"/>
      <c r="Q7" s="59"/>
    </row>
    <row r="8" customFormat="false" ht="15" hidden="false" customHeight="false" outlineLevel="0" collapsed="false">
      <c r="A8" s="60" t="s">
        <v>246</v>
      </c>
      <c r="B8" s="60" t="s">
        <v>226</v>
      </c>
      <c r="C8" s="60" t="s">
        <v>247</v>
      </c>
      <c r="D8" s="60" t="s">
        <v>248</v>
      </c>
      <c r="E8" s="60" t="s">
        <v>249</v>
      </c>
      <c r="F8" s="60" t="s">
        <v>230</v>
      </c>
      <c r="G8" s="60" t="s">
        <v>230</v>
      </c>
      <c r="H8" s="60" t="s">
        <v>250</v>
      </c>
      <c r="I8" s="60" t="s">
        <v>233</v>
      </c>
      <c r="J8" s="61" t="n">
        <v>2</v>
      </c>
      <c r="K8" s="60" t="s">
        <v>241</v>
      </c>
      <c r="L8" s="60" t="s">
        <v>251</v>
      </c>
      <c r="M8" s="60"/>
      <c r="N8" s="62" t="n">
        <f aca="false">IF(H8="Alto",3,IF(H8="Médio",2,1))*2+4-IF(I8="Alto",3,IF(I8="Médio",2,1))</f>
        <v>7</v>
      </c>
      <c r="O8" s="59" t="s">
        <v>236</v>
      </c>
      <c r="P8" s="59"/>
      <c r="Q8" s="59"/>
    </row>
    <row r="9" customFormat="false" ht="15" hidden="false" customHeight="false" outlineLevel="0" collapsed="false">
      <c r="A9" s="56" t="s">
        <v>252</v>
      </c>
      <c r="B9" s="56" t="s">
        <v>226</v>
      </c>
      <c r="C9" s="56" t="s">
        <v>253</v>
      </c>
      <c r="D9" s="56" t="s">
        <v>254</v>
      </c>
      <c r="E9" s="56" t="s">
        <v>255</v>
      </c>
      <c r="F9" s="56" t="s">
        <v>230</v>
      </c>
      <c r="G9" s="56" t="s">
        <v>230</v>
      </c>
      <c r="H9" s="56" t="s">
        <v>232</v>
      </c>
      <c r="I9" s="56" t="s">
        <v>233</v>
      </c>
      <c r="J9" s="57" t="n">
        <v>1</v>
      </c>
      <c r="K9" s="56" t="s">
        <v>241</v>
      </c>
      <c r="L9" s="56" t="s">
        <v>235</v>
      </c>
      <c r="M9" s="56"/>
      <c r="N9" s="58" t="n">
        <f aca="false">IF(H9="Alto",3,IF(H9="Médio",2,1))*2+4-IF(I9="Alto",3,IF(I9="Médio",2,1))</f>
        <v>9</v>
      </c>
      <c r="O9" s="59" t="s">
        <v>236</v>
      </c>
      <c r="P9" s="59"/>
      <c r="Q9" s="59"/>
    </row>
    <row r="10" customFormat="false" ht="23.85" hidden="false" customHeight="false" outlineLevel="0" collapsed="false">
      <c r="A10" s="60" t="s">
        <v>256</v>
      </c>
      <c r="B10" s="60" t="s">
        <v>226</v>
      </c>
      <c r="C10" s="60" t="s">
        <v>257</v>
      </c>
      <c r="D10" s="60" t="s">
        <v>258</v>
      </c>
      <c r="E10" s="60" t="s">
        <v>259</v>
      </c>
      <c r="F10" s="60" t="s">
        <v>230</v>
      </c>
      <c r="G10" s="60" t="s">
        <v>260</v>
      </c>
      <c r="H10" s="60" t="s">
        <v>232</v>
      </c>
      <c r="I10" s="60" t="s">
        <v>250</v>
      </c>
      <c r="J10" s="61" t="n">
        <v>1</v>
      </c>
      <c r="K10" s="60" t="s">
        <v>241</v>
      </c>
      <c r="L10" s="60" t="s">
        <v>235</v>
      </c>
      <c r="M10" s="60" t="s">
        <v>261</v>
      </c>
      <c r="N10" s="62" t="n">
        <f aca="false">IF(H10="Alto",3,IF(H10="Médio",2,1))*2+4-IF(I10="Alto",3,IF(I10="Médio",2,1))</f>
        <v>8</v>
      </c>
      <c r="O10" s="59" t="s">
        <v>236</v>
      </c>
      <c r="P10" s="59"/>
      <c r="Q10" s="59"/>
    </row>
    <row r="11" customFormat="false" ht="23.85" hidden="false" customHeight="false" outlineLevel="0" collapsed="false">
      <c r="A11" s="56" t="s">
        <v>262</v>
      </c>
      <c r="B11" s="56" t="s">
        <v>226</v>
      </c>
      <c r="C11" s="56" t="s">
        <v>263</v>
      </c>
      <c r="D11" s="56" t="s">
        <v>264</v>
      </c>
      <c r="E11" s="56" t="s">
        <v>265</v>
      </c>
      <c r="F11" s="56" t="s">
        <v>230</v>
      </c>
      <c r="G11" s="56" t="s">
        <v>266</v>
      </c>
      <c r="H11" s="56" t="s">
        <v>250</v>
      </c>
      <c r="I11" s="56" t="s">
        <v>250</v>
      </c>
      <c r="J11" s="57" t="n">
        <v>2</v>
      </c>
      <c r="K11" s="56" t="s">
        <v>241</v>
      </c>
      <c r="L11" s="56" t="s">
        <v>251</v>
      </c>
      <c r="M11" s="56"/>
      <c r="N11" s="58" t="n">
        <f aca="false">IF(H11="Alto",3,IF(H11="Médio",2,1))*2+4-IF(I11="Alto",3,IF(I11="Médio",2,1))</f>
        <v>6</v>
      </c>
      <c r="O11" s="59" t="s">
        <v>236</v>
      </c>
      <c r="P11" s="59"/>
      <c r="Q11" s="59"/>
    </row>
    <row r="12" customFormat="false" ht="23.85" hidden="false" customHeight="false" outlineLevel="0" collapsed="false">
      <c r="A12" s="60" t="s">
        <v>267</v>
      </c>
      <c r="B12" s="60" t="s">
        <v>226</v>
      </c>
      <c r="C12" s="60" t="s">
        <v>268</v>
      </c>
      <c r="D12" s="60" t="s">
        <v>269</v>
      </c>
      <c r="E12" s="60" t="s">
        <v>270</v>
      </c>
      <c r="F12" s="60" t="s">
        <v>230</v>
      </c>
      <c r="G12" s="60" t="s">
        <v>266</v>
      </c>
      <c r="H12" s="60" t="s">
        <v>250</v>
      </c>
      <c r="I12" s="60" t="s">
        <v>250</v>
      </c>
      <c r="J12" s="61" t="n">
        <v>3</v>
      </c>
      <c r="K12" s="60" t="s">
        <v>271</v>
      </c>
      <c r="L12" s="60" t="s">
        <v>251</v>
      </c>
      <c r="M12" s="60"/>
      <c r="N12" s="62" t="n">
        <f aca="false">IF(H12="Alto",3,IF(H12="Médio",2,1))*2+4-IF(I12="Alto",3,IF(I12="Médio",2,1))</f>
        <v>6</v>
      </c>
      <c r="O12" s="59" t="s">
        <v>236</v>
      </c>
      <c r="P12" s="59"/>
      <c r="Q12" s="59"/>
    </row>
    <row r="13" customFormat="false" ht="23.85" hidden="false" customHeight="false" outlineLevel="0" collapsed="false">
      <c r="A13" s="56" t="s">
        <v>272</v>
      </c>
      <c r="B13" s="56" t="s">
        <v>226</v>
      </c>
      <c r="C13" s="56" t="s">
        <v>273</v>
      </c>
      <c r="D13" s="56" t="s">
        <v>274</v>
      </c>
      <c r="E13" s="56" t="s">
        <v>275</v>
      </c>
      <c r="F13" s="56" t="s">
        <v>230</v>
      </c>
      <c r="G13" s="56" t="s">
        <v>230</v>
      </c>
      <c r="H13" s="56" t="s">
        <v>232</v>
      </c>
      <c r="I13" s="56" t="s">
        <v>233</v>
      </c>
      <c r="J13" s="57" t="n">
        <v>1</v>
      </c>
      <c r="K13" s="56" t="s">
        <v>241</v>
      </c>
      <c r="L13" s="56" t="s">
        <v>235</v>
      </c>
      <c r="M13" s="56"/>
      <c r="N13" s="58" t="n">
        <f aca="false">IF(H13="Alto",3,IF(H13="Médio",2,1))*2+4-IF(I13="Alto",3,IF(I13="Médio",2,1))</f>
        <v>9</v>
      </c>
      <c r="O13" s="59" t="s">
        <v>236</v>
      </c>
      <c r="P13" s="59"/>
      <c r="Q13" s="59"/>
    </row>
    <row r="14" customFormat="false" ht="23.85" hidden="false" customHeight="false" outlineLevel="0" collapsed="false">
      <c r="A14" s="60" t="s">
        <v>276</v>
      </c>
      <c r="B14" s="60" t="s">
        <v>277</v>
      </c>
      <c r="C14" s="60" t="s">
        <v>278</v>
      </c>
      <c r="D14" s="60" t="s">
        <v>279</v>
      </c>
      <c r="E14" s="60" t="s">
        <v>280</v>
      </c>
      <c r="F14" s="60" t="s">
        <v>230</v>
      </c>
      <c r="G14" s="60" t="s">
        <v>281</v>
      </c>
      <c r="H14" s="60" t="s">
        <v>232</v>
      </c>
      <c r="I14" s="60" t="s">
        <v>233</v>
      </c>
      <c r="J14" s="61" t="n">
        <v>1</v>
      </c>
      <c r="K14" s="60" t="s">
        <v>241</v>
      </c>
      <c r="L14" s="60" t="s">
        <v>235</v>
      </c>
      <c r="M14" s="60"/>
      <c r="N14" s="62" t="n">
        <f aca="false">IF(H14="Alto",3,IF(H14="Médio",2,1))*2+4-IF(I14="Alto",3,IF(I14="Médio",2,1))</f>
        <v>9</v>
      </c>
      <c r="O14" s="59" t="s">
        <v>236</v>
      </c>
      <c r="P14" s="59"/>
      <c r="Q14" s="59"/>
    </row>
    <row r="15" customFormat="false" ht="15" hidden="false" customHeight="false" outlineLevel="0" collapsed="false">
      <c r="A15" s="56" t="s">
        <v>282</v>
      </c>
      <c r="B15" s="56" t="s">
        <v>277</v>
      </c>
      <c r="C15" s="56" t="s">
        <v>283</v>
      </c>
      <c r="D15" s="56" t="s">
        <v>284</v>
      </c>
      <c r="E15" s="56" t="s">
        <v>285</v>
      </c>
      <c r="F15" s="56" t="s">
        <v>230</v>
      </c>
      <c r="G15" s="56" t="s">
        <v>230</v>
      </c>
      <c r="H15" s="56" t="s">
        <v>250</v>
      </c>
      <c r="I15" s="56" t="s">
        <v>233</v>
      </c>
      <c r="J15" s="57" t="n">
        <v>1</v>
      </c>
      <c r="K15" s="56" t="s">
        <v>241</v>
      </c>
      <c r="L15" s="56" t="s">
        <v>251</v>
      </c>
      <c r="M15" s="56"/>
      <c r="N15" s="58" t="n">
        <f aca="false">IF(H15="Alto",3,IF(H15="Médio",2,1))*2+4-IF(I15="Alto",3,IF(I15="Médio",2,1))</f>
        <v>7</v>
      </c>
      <c r="O15" s="59" t="s">
        <v>236</v>
      </c>
      <c r="P15" s="59"/>
      <c r="Q15" s="59"/>
    </row>
    <row r="16" customFormat="false" ht="23.85" hidden="false" customHeight="false" outlineLevel="0" collapsed="false">
      <c r="A16" s="60" t="s">
        <v>286</v>
      </c>
      <c r="B16" s="60" t="s">
        <v>277</v>
      </c>
      <c r="C16" s="60" t="s">
        <v>287</v>
      </c>
      <c r="D16" s="60" t="s">
        <v>288</v>
      </c>
      <c r="E16" s="60" t="s">
        <v>289</v>
      </c>
      <c r="F16" s="60" t="s">
        <v>230</v>
      </c>
      <c r="G16" s="60" t="s">
        <v>290</v>
      </c>
      <c r="H16" s="60" t="s">
        <v>250</v>
      </c>
      <c r="I16" s="60" t="s">
        <v>233</v>
      </c>
      <c r="J16" s="61" t="n">
        <v>2</v>
      </c>
      <c r="K16" s="60" t="s">
        <v>241</v>
      </c>
      <c r="L16" s="60" t="s">
        <v>251</v>
      </c>
      <c r="M16" s="60"/>
      <c r="N16" s="62" t="n">
        <f aca="false">IF(H16="Alto",3,IF(H16="Médio",2,1))*2+4-IF(I16="Alto",3,IF(I16="Médio",2,1))</f>
        <v>7</v>
      </c>
      <c r="O16" s="59" t="s">
        <v>236</v>
      </c>
      <c r="P16" s="59"/>
      <c r="Q16" s="59"/>
    </row>
    <row r="17" customFormat="false" ht="15" hidden="false" customHeight="false" outlineLevel="0" collapsed="false">
      <c r="A17" s="56" t="s">
        <v>291</v>
      </c>
      <c r="B17" s="56" t="s">
        <v>277</v>
      </c>
      <c r="C17" s="56" t="s">
        <v>292</v>
      </c>
      <c r="D17" s="56" t="s">
        <v>293</v>
      </c>
      <c r="E17" s="56" t="s">
        <v>294</v>
      </c>
      <c r="F17" s="56" t="s">
        <v>295</v>
      </c>
      <c r="G17" s="56" t="s">
        <v>231</v>
      </c>
      <c r="H17" s="56" t="s">
        <v>250</v>
      </c>
      <c r="I17" s="56" t="s">
        <v>250</v>
      </c>
      <c r="J17" s="57" t="n">
        <v>3</v>
      </c>
      <c r="K17" s="56" t="s">
        <v>241</v>
      </c>
      <c r="L17" s="56" t="s">
        <v>251</v>
      </c>
      <c r="M17" s="56"/>
      <c r="N17" s="58" t="n">
        <f aca="false">IF(H17="Alto",3,IF(H17="Médio",2,1))*2+4-IF(I17="Alto",3,IF(I17="Médio",2,1))</f>
        <v>6</v>
      </c>
      <c r="O17" s="59" t="s">
        <v>236</v>
      </c>
      <c r="P17" s="59"/>
      <c r="Q17" s="59"/>
    </row>
    <row r="18" customFormat="false" ht="23.85" hidden="false" customHeight="false" outlineLevel="0" collapsed="false">
      <c r="A18" s="60" t="s">
        <v>296</v>
      </c>
      <c r="B18" s="60" t="s">
        <v>297</v>
      </c>
      <c r="C18" s="60" t="s">
        <v>298</v>
      </c>
      <c r="D18" s="60" t="s">
        <v>299</v>
      </c>
      <c r="E18" s="60" t="s">
        <v>300</v>
      </c>
      <c r="F18" s="60" t="s">
        <v>230</v>
      </c>
      <c r="G18" s="60" t="s">
        <v>266</v>
      </c>
      <c r="H18" s="60" t="s">
        <v>232</v>
      </c>
      <c r="I18" s="60" t="s">
        <v>250</v>
      </c>
      <c r="J18" s="61" t="n">
        <v>1</v>
      </c>
      <c r="K18" s="60" t="s">
        <v>241</v>
      </c>
      <c r="L18" s="60" t="s">
        <v>235</v>
      </c>
      <c r="M18" s="60" t="s">
        <v>301</v>
      </c>
      <c r="N18" s="62" t="n">
        <f aca="false">IF(H18="Alto",3,IF(H18="Médio",2,1))*2+4-IF(I18="Alto",3,IF(I18="Médio",2,1))</f>
        <v>8</v>
      </c>
      <c r="O18" s="59" t="s">
        <v>236</v>
      </c>
      <c r="P18" s="59"/>
      <c r="Q18" s="59"/>
    </row>
    <row r="19" customFormat="false" ht="23.85" hidden="false" customHeight="false" outlineLevel="0" collapsed="false">
      <c r="A19" s="56" t="s">
        <v>302</v>
      </c>
      <c r="B19" s="56" t="s">
        <v>297</v>
      </c>
      <c r="C19" s="56" t="s">
        <v>303</v>
      </c>
      <c r="D19" s="56" t="s">
        <v>304</v>
      </c>
      <c r="E19" s="56" t="s">
        <v>305</v>
      </c>
      <c r="F19" s="56" t="s">
        <v>230</v>
      </c>
      <c r="G19" s="56" t="s">
        <v>290</v>
      </c>
      <c r="H19" s="56" t="s">
        <v>232</v>
      </c>
      <c r="I19" s="56" t="s">
        <v>233</v>
      </c>
      <c r="J19" s="57" t="n">
        <v>1</v>
      </c>
      <c r="K19" s="56" t="s">
        <v>241</v>
      </c>
      <c r="L19" s="56" t="s">
        <v>235</v>
      </c>
      <c r="M19" s="56"/>
      <c r="N19" s="58" t="n">
        <f aca="false">IF(H19="Alto",3,IF(H19="Médio",2,1))*2+4-IF(I19="Alto",3,IF(I19="Médio",2,1))</f>
        <v>9</v>
      </c>
      <c r="O19" s="59" t="s">
        <v>236</v>
      </c>
      <c r="P19" s="59"/>
      <c r="Q19" s="59"/>
    </row>
    <row r="20" customFormat="false" ht="23.85" hidden="false" customHeight="false" outlineLevel="0" collapsed="false">
      <c r="A20" s="60" t="s">
        <v>306</v>
      </c>
      <c r="B20" s="60" t="s">
        <v>297</v>
      </c>
      <c r="C20" s="60" t="s">
        <v>307</v>
      </c>
      <c r="D20" s="60" t="s">
        <v>308</v>
      </c>
      <c r="E20" s="60" t="s">
        <v>309</v>
      </c>
      <c r="F20" s="60" t="s">
        <v>295</v>
      </c>
      <c r="G20" s="60" t="s">
        <v>290</v>
      </c>
      <c r="H20" s="60" t="s">
        <v>232</v>
      </c>
      <c r="I20" s="60" t="s">
        <v>250</v>
      </c>
      <c r="J20" s="61" t="n">
        <v>2</v>
      </c>
      <c r="K20" s="60" t="s">
        <v>241</v>
      </c>
      <c r="L20" s="60" t="s">
        <v>235</v>
      </c>
      <c r="M20" s="60" t="s">
        <v>310</v>
      </c>
      <c r="N20" s="62" t="n">
        <f aca="false">IF(H20="Alto",3,IF(H20="Médio",2,1))*2+4-IF(I20="Alto",3,IF(I20="Médio",2,1))</f>
        <v>8</v>
      </c>
      <c r="O20" s="59" t="s">
        <v>236</v>
      </c>
      <c r="P20" s="59"/>
      <c r="Q20" s="59"/>
    </row>
    <row r="21" customFormat="false" ht="23.85" hidden="false" customHeight="false" outlineLevel="0" collapsed="false">
      <c r="A21" s="56" t="s">
        <v>311</v>
      </c>
      <c r="B21" s="56" t="s">
        <v>297</v>
      </c>
      <c r="C21" s="56" t="s">
        <v>312</v>
      </c>
      <c r="D21" s="56" t="s">
        <v>313</v>
      </c>
      <c r="E21" s="56" t="s">
        <v>314</v>
      </c>
      <c r="F21" s="56" t="s">
        <v>315</v>
      </c>
      <c r="G21" s="56" t="s">
        <v>316</v>
      </c>
      <c r="H21" s="56" t="s">
        <v>232</v>
      </c>
      <c r="I21" s="56" t="s">
        <v>232</v>
      </c>
      <c r="J21" s="57" t="n">
        <v>3</v>
      </c>
      <c r="K21" s="56" t="s">
        <v>241</v>
      </c>
      <c r="L21" s="56" t="s">
        <v>251</v>
      </c>
      <c r="M21" s="56" t="s">
        <v>317</v>
      </c>
      <c r="N21" s="58" t="n">
        <f aca="false">IF(H21="Alto",3,IF(H21="Médio",2,1))*2+4-IF(I21="Alto",3,IF(I21="Médio",2,1))</f>
        <v>7</v>
      </c>
      <c r="O21" s="59" t="s">
        <v>236</v>
      </c>
      <c r="P21" s="59"/>
      <c r="Q21" s="59"/>
    </row>
    <row r="22" customFormat="false" ht="23.85" hidden="false" customHeight="false" outlineLevel="0" collapsed="false">
      <c r="A22" s="60" t="s">
        <v>318</v>
      </c>
      <c r="B22" s="60" t="s">
        <v>297</v>
      </c>
      <c r="C22" s="60" t="s">
        <v>319</v>
      </c>
      <c r="D22" s="60" t="s">
        <v>320</v>
      </c>
      <c r="E22" s="60" t="s">
        <v>321</v>
      </c>
      <c r="F22" s="60" t="s">
        <v>322</v>
      </c>
      <c r="G22" s="60" t="s">
        <v>316</v>
      </c>
      <c r="H22" s="60" t="s">
        <v>232</v>
      </c>
      <c r="I22" s="60" t="s">
        <v>250</v>
      </c>
      <c r="J22" s="61" t="n">
        <v>1</v>
      </c>
      <c r="K22" s="60" t="s">
        <v>241</v>
      </c>
      <c r="L22" s="60" t="s">
        <v>323</v>
      </c>
      <c r="M22" s="60" t="s">
        <v>324</v>
      </c>
      <c r="N22" s="62" t="n">
        <f aca="false">IF(H22="Alto",3,IF(H22="Médio",2,1))*2+4-IF(I22="Alto",3,IF(I22="Médio",2,1))</f>
        <v>8</v>
      </c>
      <c r="O22" s="59" t="s">
        <v>236</v>
      </c>
      <c r="P22" s="59"/>
      <c r="Q22" s="59"/>
    </row>
    <row r="23" customFormat="false" ht="23.85" hidden="false" customHeight="false" outlineLevel="0" collapsed="false">
      <c r="A23" s="56" t="s">
        <v>325</v>
      </c>
      <c r="B23" s="56" t="s">
        <v>297</v>
      </c>
      <c r="C23" s="56" t="s">
        <v>326</v>
      </c>
      <c r="D23" s="56" t="s">
        <v>327</v>
      </c>
      <c r="E23" s="56" t="s">
        <v>328</v>
      </c>
      <c r="F23" s="56" t="s">
        <v>230</v>
      </c>
      <c r="G23" s="56" t="s">
        <v>329</v>
      </c>
      <c r="H23" s="56" t="s">
        <v>232</v>
      </c>
      <c r="I23" s="56" t="s">
        <v>232</v>
      </c>
      <c r="J23" s="57" t="n">
        <v>3</v>
      </c>
      <c r="K23" s="56" t="s">
        <v>241</v>
      </c>
      <c r="L23" s="56" t="s">
        <v>251</v>
      </c>
      <c r="M23" s="56" t="s">
        <v>330</v>
      </c>
      <c r="N23" s="58" t="n">
        <f aca="false">IF(H23="Alto",3,IF(H23="Médio",2,1))*2+4-IF(I23="Alto",3,IF(I23="Médio",2,1))</f>
        <v>7</v>
      </c>
      <c r="O23" s="59" t="s">
        <v>236</v>
      </c>
      <c r="P23" s="59"/>
      <c r="Q23" s="59"/>
    </row>
    <row r="24" customFormat="false" ht="23.85" hidden="false" customHeight="false" outlineLevel="0" collapsed="false">
      <c r="A24" s="60" t="s">
        <v>331</v>
      </c>
      <c r="B24" s="60" t="s">
        <v>297</v>
      </c>
      <c r="C24" s="60" t="s">
        <v>332</v>
      </c>
      <c r="D24" s="60" t="s">
        <v>333</v>
      </c>
      <c r="E24" s="60" t="s">
        <v>334</v>
      </c>
      <c r="F24" s="60" t="s">
        <v>230</v>
      </c>
      <c r="G24" s="60" t="s">
        <v>335</v>
      </c>
      <c r="H24" s="60" t="s">
        <v>232</v>
      </c>
      <c r="I24" s="60" t="s">
        <v>250</v>
      </c>
      <c r="J24" s="61" t="n">
        <v>2</v>
      </c>
      <c r="K24" s="60" t="s">
        <v>241</v>
      </c>
      <c r="L24" s="60" t="s">
        <v>251</v>
      </c>
      <c r="M24" s="60" t="s">
        <v>336</v>
      </c>
      <c r="N24" s="62" t="n">
        <f aca="false">IF(H24="Alto",3,IF(H24="Médio",2,1))*2+4-IF(I24="Alto",3,IF(I24="Médio",2,1))</f>
        <v>8</v>
      </c>
      <c r="O24" s="59" t="s">
        <v>236</v>
      </c>
      <c r="P24" s="59"/>
      <c r="Q24" s="59"/>
    </row>
    <row r="25" customFormat="false" ht="15" hidden="false" customHeight="false" outlineLevel="0" collapsed="false">
      <c r="A25" s="56" t="s">
        <v>337</v>
      </c>
      <c r="B25" s="56" t="s">
        <v>297</v>
      </c>
      <c r="C25" s="56" t="s">
        <v>338</v>
      </c>
      <c r="D25" s="56" t="s">
        <v>339</v>
      </c>
      <c r="E25" s="56" t="s">
        <v>340</v>
      </c>
      <c r="F25" s="56" t="s">
        <v>295</v>
      </c>
      <c r="G25" s="56" t="s">
        <v>341</v>
      </c>
      <c r="H25" s="56" t="s">
        <v>250</v>
      </c>
      <c r="I25" s="56" t="s">
        <v>250</v>
      </c>
      <c r="J25" s="57" t="n">
        <v>3</v>
      </c>
      <c r="K25" s="56" t="s">
        <v>241</v>
      </c>
      <c r="L25" s="56" t="s">
        <v>251</v>
      </c>
      <c r="M25" s="56" t="s">
        <v>342</v>
      </c>
      <c r="N25" s="58" t="n">
        <f aca="false">IF(H25="Alto",3,IF(H25="Médio",2,1))*2+4-IF(I25="Alto",3,IF(I25="Médio",2,1))</f>
        <v>6</v>
      </c>
      <c r="O25" s="59" t="s">
        <v>236</v>
      </c>
      <c r="P25" s="59"/>
      <c r="Q25" s="59"/>
    </row>
    <row r="26" customFormat="false" ht="23.85" hidden="false" customHeight="false" outlineLevel="0" collapsed="false">
      <c r="A26" s="60" t="s">
        <v>343</v>
      </c>
      <c r="B26" s="60" t="s">
        <v>297</v>
      </c>
      <c r="C26" s="60" t="s">
        <v>344</v>
      </c>
      <c r="D26" s="60" t="s">
        <v>345</v>
      </c>
      <c r="E26" s="60" t="s">
        <v>346</v>
      </c>
      <c r="F26" s="60" t="s">
        <v>230</v>
      </c>
      <c r="G26" s="60" t="s">
        <v>230</v>
      </c>
      <c r="H26" s="60" t="s">
        <v>250</v>
      </c>
      <c r="I26" s="60" t="s">
        <v>250</v>
      </c>
      <c r="J26" s="61" t="n">
        <v>3</v>
      </c>
      <c r="K26" s="60" t="s">
        <v>241</v>
      </c>
      <c r="L26" s="60" t="s">
        <v>251</v>
      </c>
      <c r="M26" s="60"/>
      <c r="N26" s="62" t="n">
        <f aca="false">IF(H26="Alto",3,IF(H26="Médio",2,1))*2+4-IF(I26="Alto",3,IF(I26="Médio",2,1))</f>
        <v>6</v>
      </c>
      <c r="O26" s="59" t="s">
        <v>236</v>
      </c>
      <c r="P26" s="59"/>
      <c r="Q26" s="59"/>
    </row>
    <row r="27" customFormat="false" ht="15" hidden="false" customHeight="false" outlineLevel="0" collapsed="false">
      <c r="A27" s="56" t="s">
        <v>347</v>
      </c>
      <c r="B27" s="56" t="s">
        <v>297</v>
      </c>
      <c r="C27" s="56" t="s">
        <v>348</v>
      </c>
      <c r="D27" s="56" t="s">
        <v>349</v>
      </c>
      <c r="E27" s="56" t="s">
        <v>350</v>
      </c>
      <c r="F27" s="56" t="s">
        <v>230</v>
      </c>
      <c r="G27" s="56" t="s">
        <v>290</v>
      </c>
      <c r="H27" s="56" t="s">
        <v>250</v>
      </c>
      <c r="I27" s="56" t="s">
        <v>232</v>
      </c>
      <c r="J27" s="57" t="n">
        <v>3</v>
      </c>
      <c r="K27" s="56" t="s">
        <v>241</v>
      </c>
      <c r="L27" s="56" t="s">
        <v>251</v>
      </c>
      <c r="M27" s="56" t="s">
        <v>351</v>
      </c>
      <c r="N27" s="58" t="n">
        <f aca="false">IF(H27="Alto",3,IF(H27="Médio",2,1))*2+4-IF(I27="Alto",3,IF(I27="Médio",2,1))</f>
        <v>5</v>
      </c>
      <c r="O27" s="59" t="s">
        <v>236</v>
      </c>
      <c r="P27" s="59"/>
      <c r="Q27" s="59"/>
    </row>
    <row r="28" customFormat="false" ht="35.05" hidden="false" customHeight="false" outlineLevel="0" collapsed="false">
      <c r="A28" s="60" t="s">
        <v>352</v>
      </c>
      <c r="B28" s="60" t="s">
        <v>297</v>
      </c>
      <c r="C28" s="60" t="s">
        <v>353</v>
      </c>
      <c r="D28" s="60" t="s">
        <v>354</v>
      </c>
      <c r="E28" s="60" t="s">
        <v>355</v>
      </c>
      <c r="F28" s="60" t="s">
        <v>230</v>
      </c>
      <c r="G28" s="60" t="s">
        <v>356</v>
      </c>
      <c r="H28" s="60" t="s">
        <v>232</v>
      </c>
      <c r="I28" s="60" t="s">
        <v>250</v>
      </c>
      <c r="J28" s="61" t="n">
        <v>1</v>
      </c>
      <c r="K28" s="60" t="s">
        <v>241</v>
      </c>
      <c r="L28" s="60" t="s">
        <v>251</v>
      </c>
      <c r="M28" s="60" t="s">
        <v>357</v>
      </c>
      <c r="N28" s="62" t="n">
        <f aca="false">IF(H28="Alto",3,IF(H28="Médio",2,1))*2+4-IF(I28="Alto",3,IF(I28="Médio",2,1))</f>
        <v>8</v>
      </c>
      <c r="O28" s="59" t="s">
        <v>236</v>
      </c>
      <c r="P28" s="59"/>
      <c r="Q28" s="59"/>
    </row>
    <row r="29" customFormat="false" ht="23.85" hidden="false" customHeight="false" outlineLevel="0" collapsed="false">
      <c r="A29" s="56" t="s">
        <v>358</v>
      </c>
      <c r="B29" s="56" t="s">
        <v>359</v>
      </c>
      <c r="C29" s="56" t="s">
        <v>360</v>
      </c>
      <c r="D29" s="56" t="s">
        <v>361</v>
      </c>
      <c r="E29" s="56" t="s">
        <v>362</v>
      </c>
      <c r="F29" s="56" t="s">
        <v>363</v>
      </c>
      <c r="G29" s="56" t="s">
        <v>364</v>
      </c>
      <c r="H29" s="56" t="s">
        <v>232</v>
      </c>
      <c r="I29" s="56" t="s">
        <v>250</v>
      </c>
      <c r="J29" s="57" t="n">
        <v>1</v>
      </c>
      <c r="K29" s="56" t="s">
        <v>241</v>
      </c>
      <c r="L29" s="56" t="s">
        <v>235</v>
      </c>
      <c r="M29" s="56" t="s">
        <v>365</v>
      </c>
      <c r="N29" s="58" t="n">
        <f aca="false">IF(H29="Alto",3,IF(H29="Médio",2,1))*2+4-IF(I29="Alto",3,IF(I29="Médio",2,1))</f>
        <v>8</v>
      </c>
      <c r="O29" s="59" t="s">
        <v>236</v>
      </c>
      <c r="P29" s="59"/>
      <c r="Q29" s="59"/>
    </row>
    <row r="30" customFormat="false" ht="23.85" hidden="false" customHeight="false" outlineLevel="0" collapsed="false">
      <c r="A30" s="60" t="s">
        <v>366</v>
      </c>
      <c r="B30" s="60" t="s">
        <v>359</v>
      </c>
      <c r="C30" s="60" t="s">
        <v>367</v>
      </c>
      <c r="D30" s="60" t="s">
        <v>368</v>
      </c>
      <c r="E30" s="60" t="s">
        <v>369</v>
      </c>
      <c r="F30" s="60" t="s">
        <v>363</v>
      </c>
      <c r="G30" s="60" t="s">
        <v>370</v>
      </c>
      <c r="H30" s="60" t="s">
        <v>232</v>
      </c>
      <c r="I30" s="60" t="s">
        <v>233</v>
      </c>
      <c r="J30" s="61" t="n">
        <v>1</v>
      </c>
      <c r="K30" s="60" t="s">
        <v>241</v>
      </c>
      <c r="L30" s="60" t="s">
        <v>251</v>
      </c>
      <c r="M30" s="60" t="s">
        <v>371</v>
      </c>
      <c r="N30" s="62" t="n">
        <f aca="false">IF(H30="Alto",3,IF(H30="Médio",2,1))*2+4-IF(I30="Alto",3,IF(I30="Médio",2,1))</f>
        <v>9</v>
      </c>
      <c r="O30" s="59" t="s">
        <v>236</v>
      </c>
      <c r="P30" s="59"/>
      <c r="Q30" s="59"/>
    </row>
    <row r="31" customFormat="false" ht="23.85" hidden="false" customHeight="false" outlineLevel="0" collapsed="false">
      <c r="A31" s="56" t="s">
        <v>372</v>
      </c>
      <c r="B31" s="56" t="s">
        <v>359</v>
      </c>
      <c r="C31" s="56" t="s">
        <v>373</v>
      </c>
      <c r="D31" s="56" t="s">
        <v>374</v>
      </c>
      <c r="E31" s="56" t="s">
        <v>375</v>
      </c>
      <c r="F31" s="56" t="s">
        <v>363</v>
      </c>
      <c r="G31" s="56" t="s">
        <v>364</v>
      </c>
      <c r="H31" s="56" t="s">
        <v>232</v>
      </c>
      <c r="I31" s="56" t="s">
        <v>250</v>
      </c>
      <c r="J31" s="57" t="n">
        <v>2</v>
      </c>
      <c r="K31" s="56" t="s">
        <v>241</v>
      </c>
      <c r="L31" s="56" t="s">
        <v>235</v>
      </c>
      <c r="M31" s="56" t="s">
        <v>376</v>
      </c>
      <c r="N31" s="58" t="n">
        <f aca="false">IF(H31="Alto",3,IF(H31="Médio",2,1))*2+4-IF(I31="Alto",3,IF(I31="Médio",2,1))</f>
        <v>8</v>
      </c>
      <c r="O31" s="59" t="s">
        <v>236</v>
      </c>
      <c r="P31" s="59"/>
      <c r="Q31" s="59"/>
    </row>
    <row r="32" customFormat="false" ht="35.05" hidden="false" customHeight="false" outlineLevel="0" collapsed="false">
      <c r="A32" s="60" t="s">
        <v>377</v>
      </c>
      <c r="B32" s="60" t="s">
        <v>359</v>
      </c>
      <c r="C32" s="60" t="s">
        <v>378</v>
      </c>
      <c r="D32" s="60" t="s">
        <v>379</v>
      </c>
      <c r="E32" s="60" t="s">
        <v>380</v>
      </c>
      <c r="F32" s="60" t="s">
        <v>381</v>
      </c>
      <c r="G32" s="60" t="s">
        <v>382</v>
      </c>
      <c r="H32" s="60" t="s">
        <v>232</v>
      </c>
      <c r="I32" s="60" t="s">
        <v>250</v>
      </c>
      <c r="J32" s="61" t="n">
        <v>2</v>
      </c>
      <c r="K32" s="60" t="s">
        <v>383</v>
      </c>
      <c r="L32" s="60" t="s">
        <v>235</v>
      </c>
      <c r="M32" s="60" t="s">
        <v>384</v>
      </c>
      <c r="N32" s="62" t="n">
        <f aca="false">IF(H32="Alto",3,IF(H32="Médio",2,1))*2+4-IF(I32="Alto",3,IF(I32="Médio",2,1))</f>
        <v>8</v>
      </c>
      <c r="O32" s="59" t="s">
        <v>236</v>
      </c>
      <c r="P32" s="59"/>
      <c r="Q32" s="59"/>
    </row>
    <row r="33" customFormat="false" ht="35.05" hidden="false" customHeight="false" outlineLevel="0" collapsed="false">
      <c r="A33" s="56" t="s">
        <v>385</v>
      </c>
      <c r="B33" s="56" t="s">
        <v>359</v>
      </c>
      <c r="C33" s="56" t="s">
        <v>386</v>
      </c>
      <c r="D33" s="56" t="s">
        <v>387</v>
      </c>
      <c r="E33" s="56" t="s">
        <v>388</v>
      </c>
      <c r="F33" s="56" t="s">
        <v>295</v>
      </c>
      <c r="G33" s="56" t="s">
        <v>316</v>
      </c>
      <c r="H33" s="56" t="s">
        <v>232</v>
      </c>
      <c r="I33" s="56" t="s">
        <v>250</v>
      </c>
      <c r="J33" s="57" t="n">
        <v>3</v>
      </c>
      <c r="K33" s="56" t="s">
        <v>241</v>
      </c>
      <c r="L33" s="56" t="s">
        <v>251</v>
      </c>
      <c r="M33" s="56" t="s">
        <v>389</v>
      </c>
      <c r="N33" s="58" t="n">
        <f aca="false">IF(H33="Alto",3,IF(H33="Médio",2,1))*2+4-IF(I33="Alto",3,IF(I33="Médio",2,1))</f>
        <v>8</v>
      </c>
      <c r="O33" s="59" t="s">
        <v>236</v>
      </c>
      <c r="P33" s="59"/>
      <c r="Q33" s="59"/>
    </row>
    <row r="34" customFormat="false" ht="23.85" hidden="false" customHeight="false" outlineLevel="0" collapsed="false">
      <c r="A34" s="60" t="s">
        <v>390</v>
      </c>
      <c r="B34" s="60" t="s">
        <v>359</v>
      </c>
      <c r="C34" s="60" t="s">
        <v>391</v>
      </c>
      <c r="D34" s="60" t="s">
        <v>392</v>
      </c>
      <c r="E34" s="60" t="s">
        <v>393</v>
      </c>
      <c r="F34" s="60" t="s">
        <v>295</v>
      </c>
      <c r="G34" s="60" t="s">
        <v>290</v>
      </c>
      <c r="H34" s="60" t="s">
        <v>232</v>
      </c>
      <c r="I34" s="60" t="s">
        <v>250</v>
      </c>
      <c r="J34" s="61" t="n">
        <v>2</v>
      </c>
      <c r="K34" s="60" t="s">
        <v>241</v>
      </c>
      <c r="L34" s="60" t="s">
        <v>235</v>
      </c>
      <c r="M34" s="60"/>
      <c r="N34" s="62" t="n">
        <f aca="false">IF(H34="Alto",3,IF(H34="Médio",2,1))*2+4-IF(I34="Alto",3,IF(I34="Médio",2,1))</f>
        <v>8</v>
      </c>
      <c r="O34" s="59" t="s">
        <v>236</v>
      </c>
      <c r="P34" s="59"/>
      <c r="Q34" s="59"/>
    </row>
    <row r="35" customFormat="false" ht="23.85" hidden="false" customHeight="false" outlineLevel="0" collapsed="false">
      <c r="A35" s="56" t="s">
        <v>394</v>
      </c>
      <c r="B35" s="56" t="s">
        <v>359</v>
      </c>
      <c r="C35" s="56" t="s">
        <v>395</v>
      </c>
      <c r="D35" s="56" t="s">
        <v>396</v>
      </c>
      <c r="E35" s="56" t="s">
        <v>397</v>
      </c>
      <c r="F35" s="56" t="s">
        <v>230</v>
      </c>
      <c r="G35" s="56" t="s">
        <v>398</v>
      </c>
      <c r="H35" s="56" t="s">
        <v>250</v>
      </c>
      <c r="I35" s="56" t="s">
        <v>250</v>
      </c>
      <c r="J35" s="57" t="n">
        <v>2</v>
      </c>
      <c r="K35" s="56" t="s">
        <v>241</v>
      </c>
      <c r="L35" s="56" t="s">
        <v>251</v>
      </c>
      <c r="M35" s="56" t="s">
        <v>399</v>
      </c>
      <c r="N35" s="58" t="n">
        <f aca="false">IF(H35="Alto",3,IF(H35="Médio",2,1))*2+4-IF(I35="Alto",3,IF(I35="Médio",2,1))</f>
        <v>6</v>
      </c>
      <c r="O35" s="59" t="s">
        <v>236</v>
      </c>
      <c r="P35" s="59"/>
      <c r="Q35" s="59"/>
    </row>
    <row r="36" customFormat="false" ht="23.85" hidden="false" customHeight="false" outlineLevel="0" collapsed="false">
      <c r="A36" s="60" t="s">
        <v>400</v>
      </c>
      <c r="B36" s="60" t="s">
        <v>359</v>
      </c>
      <c r="C36" s="60" t="s">
        <v>401</v>
      </c>
      <c r="D36" s="60" t="s">
        <v>402</v>
      </c>
      <c r="E36" s="60" t="s">
        <v>403</v>
      </c>
      <c r="F36" s="60" t="s">
        <v>230</v>
      </c>
      <c r="G36" s="60" t="s">
        <v>404</v>
      </c>
      <c r="H36" s="60" t="s">
        <v>232</v>
      </c>
      <c r="I36" s="60" t="s">
        <v>250</v>
      </c>
      <c r="J36" s="61" t="n">
        <v>2</v>
      </c>
      <c r="K36" s="60" t="s">
        <v>241</v>
      </c>
      <c r="L36" s="60" t="s">
        <v>235</v>
      </c>
      <c r="M36" s="60" t="s">
        <v>405</v>
      </c>
      <c r="N36" s="62" t="n">
        <f aca="false">IF(H36="Alto",3,IF(H36="Médio",2,1))*2+4-IF(I36="Alto",3,IF(I36="Médio",2,1))</f>
        <v>8</v>
      </c>
      <c r="O36" s="59" t="s">
        <v>236</v>
      </c>
      <c r="P36" s="59"/>
      <c r="Q36" s="59"/>
    </row>
    <row r="37" customFormat="false" ht="23.85" hidden="false" customHeight="false" outlineLevel="0" collapsed="false">
      <c r="A37" s="56" t="s">
        <v>406</v>
      </c>
      <c r="B37" s="56" t="s">
        <v>359</v>
      </c>
      <c r="C37" s="56" t="s">
        <v>407</v>
      </c>
      <c r="D37" s="56" t="s">
        <v>408</v>
      </c>
      <c r="E37" s="56" t="s">
        <v>409</v>
      </c>
      <c r="F37" s="56" t="s">
        <v>230</v>
      </c>
      <c r="G37" s="56" t="s">
        <v>230</v>
      </c>
      <c r="H37" s="56" t="s">
        <v>250</v>
      </c>
      <c r="I37" s="56" t="s">
        <v>233</v>
      </c>
      <c r="J37" s="57" t="n">
        <v>3</v>
      </c>
      <c r="K37" s="56" t="s">
        <v>241</v>
      </c>
      <c r="L37" s="56" t="s">
        <v>251</v>
      </c>
      <c r="M37" s="56"/>
      <c r="N37" s="58" t="n">
        <f aca="false">IF(H37="Alto",3,IF(H37="Médio",2,1))*2+4-IF(I37="Alto",3,IF(I37="Médio",2,1))</f>
        <v>7</v>
      </c>
      <c r="O37" s="59" t="s">
        <v>236</v>
      </c>
      <c r="P37" s="59"/>
      <c r="Q37" s="59"/>
    </row>
    <row r="38" customFormat="false" ht="23.85" hidden="false" customHeight="false" outlineLevel="0" collapsed="false">
      <c r="A38" s="60" t="s">
        <v>410</v>
      </c>
      <c r="B38" s="60" t="s">
        <v>359</v>
      </c>
      <c r="C38" s="60" t="s">
        <v>411</v>
      </c>
      <c r="D38" s="60" t="s">
        <v>412</v>
      </c>
      <c r="E38" s="60" t="s">
        <v>413</v>
      </c>
      <c r="F38" s="60" t="s">
        <v>230</v>
      </c>
      <c r="G38" s="60" t="s">
        <v>414</v>
      </c>
      <c r="H38" s="60" t="s">
        <v>232</v>
      </c>
      <c r="I38" s="60" t="s">
        <v>233</v>
      </c>
      <c r="J38" s="61" t="n">
        <v>2</v>
      </c>
      <c r="K38" s="60" t="s">
        <v>241</v>
      </c>
      <c r="L38" s="60" t="s">
        <v>251</v>
      </c>
      <c r="M38" s="60" t="s">
        <v>415</v>
      </c>
      <c r="N38" s="62" t="n">
        <f aca="false">IF(H38="Alto",3,IF(H38="Médio",2,1))*2+4-IF(I38="Alto",3,IF(I38="Médio",2,1))</f>
        <v>9</v>
      </c>
      <c r="O38" s="59" t="s">
        <v>236</v>
      </c>
      <c r="P38" s="59"/>
      <c r="Q38" s="59"/>
    </row>
    <row r="39" customFormat="false" ht="23.85" hidden="false" customHeight="false" outlineLevel="0" collapsed="false">
      <c r="A39" s="56" t="s">
        <v>416</v>
      </c>
      <c r="B39" s="56" t="s">
        <v>417</v>
      </c>
      <c r="C39" s="56" t="s">
        <v>418</v>
      </c>
      <c r="D39" s="56" t="s">
        <v>419</v>
      </c>
      <c r="E39" s="56" t="s">
        <v>420</v>
      </c>
      <c r="F39" s="56" t="s">
        <v>230</v>
      </c>
      <c r="G39" s="56" t="s">
        <v>230</v>
      </c>
      <c r="H39" s="56" t="s">
        <v>232</v>
      </c>
      <c r="I39" s="56" t="s">
        <v>250</v>
      </c>
      <c r="J39" s="57" t="n">
        <v>2</v>
      </c>
      <c r="K39" s="56" t="s">
        <v>241</v>
      </c>
      <c r="L39" s="56" t="s">
        <v>235</v>
      </c>
      <c r="M39" s="56"/>
      <c r="N39" s="58" t="n">
        <f aca="false">IF(H39="Alto",3,IF(H39="Médio",2,1))*2+4-IF(I39="Alto",3,IF(I39="Médio",2,1))</f>
        <v>8</v>
      </c>
      <c r="O39" s="59" t="s">
        <v>236</v>
      </c>
      <c r="P39" s="59"/>
      <c r="Q39" s="59"/>
    </row>
    <row r="40" customFormat="false" ht="23.85" hidden="false" customHeight="false" outlineLevel="0" collapsed="false">
      <c r="A40" s="60" t="s">
        <v>421</v>
      </c>
      <c r="B40" s="60" t="s">
        <v>417</v>
      </c>
      <c r="C40" s="60" t="s">
        <v>422</v>
      </c>
      <c r="D40" s="60" t="s">
        <v>423</v>
      </c>
      <c r="E40" s="60" t="s">
        <v>424</v>
      </c>
      <c r="F40" s="60" t="s">
        <v>230</v>
      </c>
      <c r="G40" s="60" t="s">
        <v>230</v>
      </c>
      <c r="H40" s="60" t="s">
        <v>232</v>
      </c>
      <c r="I40" s="60" t="s">
        <v>250</v>
      </c>
      <c r="J40" s="61" t="n">
        <v>2</v>
      </c>
      <c r="K40" s="60" t="s">
        <v>241</v>
      </c>
      <c r="L40" s="60" t="s">
        <v>251</v>
      </c>
      <c r="M40" s="60"/>
      <c r="N40" s="62" t="n">
        <f aca="false">IF(H40="Alto",3,IF(H40="Médio",2,1))*2+4-IF(I40="Alto",3,IF(I40="Médio",2,1))</f>
        <v>8</v>
      </c>
      <c r="O40" s="59" t="s">
        <v>236</v>
      </c>
      <c r="P40" s="59"/>
      <c r="Q40" s="59"/>
    </row>
    <row r="41" customFormat="false" ht="23.85" hidden="false" customHeight="false" outlineLevel="0" collapsed="false">
      <c r="A41" s="56" t="s">
        <v>425</v>
      </c>
      <c r="B41" s="56" t="s">
        <v>417</v>
      </c>
      <c r="C41" s="56" t="s">
        <v>426</v>
      </c>
      <c r="D41" s="56" t="s">
        <v>427</v>
      </c>
      <c r="E41" s="56" t="s">
        <v>428</v>
      </c>
      <c r="F41" s="56" t="s">
        <v>230</v>
      </c>
      <c r="G41" s="56" t="s">
        <v>230</v>
      </c>
      <c r="H41" s="56" t="s">
        <v>232</v>
      </c>
      <c r="I41" s="56" t="s">
        <v>233</v>
      </c>
      <c r="J41" s="57" t="n">
        <v>2</v>
      </c>
      <c r="K41" s="56" t="s">
        <v>429</v>
      </c>
      <c r="L41" s="56" t="s">
        <v>251</v>
      </c>
      <c r="M41" s="56"/>
      <c r="N41" s="58" t="n">
        <f aca="false">IF(H41="Alto",3,IF(H41="Médio",2,1))*2+4-IF(I41="Alto",3,IF(I41="Médio",2,1))</f>
        <v>9</v>
      </c>
      <c r="O41" s="59" t="s">
        <v>236</v>
      </c>
      <c r="P41" s="59"/>
      <c r="Q41" s="59"/>
    </row>
    <row r="42" customFormat="false" ht="23.85" hidden="false" customHeight="false" outlineLevel="0" collapsed="false">
      <c r="A42" s="60" t="s">
        <v>430</v>
      </c>
      <c r="B42" s="60" t="s">
        <v>417</v>
      </c>
      <c r="C42" s="60" t="s">
        <v>431</v>
      </c>
      <c r="D42" s="60" t="s">
        <v>432</v>
      </c>
      <c r="E42" s="60" t="s">
        <v>433</v>
      </c>
      <c r="F42" s="60" t="s">
        <v>230</v>
      </c>
      <c r="G42" s="60" t="s">
        <v>230</v>
      </c>
      <c r="H42" s="60" t="s">
        <v>250</v>
      </c>
      <c r="I42" s="60" t="s">
        <v>250</v>
      </c>
      <c r="J42" s="61" t="n">
        <v>3</v>
      </c>
      <c r="K42" s="60" t="s">
        <v>241</v>
      </c>
      <c r="L42" s="60" t="s">
        <v>251</v>
      </c>
      <c r="M42" s="60"/>
      <c r="N42" s="62" t="n">
        <f aca="false">IF(H42="Alto",3,IF(H42="Médio",2,1))*2+4-IF(I42="Alto",3,IF(I42="Médio",2,1))</f>
        <v>6</v>
      </c>
      <c r="O42" s="59" t="s">
        <v>236</v>
      </c>
      <c r="P42" s="59"/>
      <c r="Q42" s="59"/>
    </row>
    <row r="43" customFormat="false" ht="23.85" hidden="false" customHeight="false" outlineLevel="0" collapsed="false">
      <c r="A43" s="56" t="s">
        <v>434</v>
      </c>
      <c r="B43" s="56" t="s">
        <v>417</v>
      </c>
      <c r="C43" s="56" t="s">
        <v>435</v>
      </c>
      <c r="D43" s="56" t="s">
        <v>436</v>
      </c>
      <c r="E43" s="56" t="s">
        <v>437</v>
      </c>
      <c r="F43" s="56" t="s">
        <v>295</v>
      </c>
      <c r="G43" s="56" t="s">
        <v>438</v>
      </c>
      <c r="H43" s="56" t="s">
        <v>232</v>
      </c>
      <c r="I43" s="56" t="s">
        <v>250</v>
      </c>
      <c r="J43" s="57" t="n">
        <v>2</v>
      </c>
      <c r="K43" s="56" t="s">
        <v>241</v>
      </c>
      <c r="L43" s="56" t="s">
        <v>235</v>
      </c>
      <c r="M43" s="56" t="s">
        <v>439</v>
      </c>
      <c r="N43" s="58" t="n">
        <f aca="false">IF(H43="Alto",3,IF(H43="Médio",2,1))*2+4-IF(I43="Alto",3,IF(I43="Médio",2,1))</f>
        <v>8</v>
      </c>
      <c r="O43" s="59" t="s">
        <v>236</v>
      </c>
      <c r="P43" s="59"/>
      <c r="Q43" s="59"/>
    </row>
    <row r="44" customFormat="false" ht="35.05" hidden="false" customHeight="false" outlineLevel="0" collapsed="false">
      <c r="A44" s="60" t="s">
        <v>440</v>
      </c>
      <c r="B44" s="60" t="s">
        <v>441</v>
      </c>
      <c r="C44" s="60" t="s">
        <v>442</v>
      </c>
      <c r="D44" s="60" t="s">
        <v>443</v>
      </c>
      <c r="E44" s="60" t="s">
        <v>444</v>
      </c>
      <c r="F44" s="60" t="s">
        <v>230</v>
      </c>
      <c r="G44" s="60" t="s">
        <v>230</v>
      </c>
      <c r="H44" s="60" t="s">
        <v>232</v>
      </c>
      <c r="I44" s="60" t="s">
        <v>233</v>
      </c>
      <c r="J44" s="61" t="n">
        <v>1</v>
      </c>
      <c r="K44" s="60" t="s">
        <v>241</v>
      </c>
      <c r="L44" s="60" t="s">
        <v>235</v>
      </c>
      <c r="M44" s="60"/>
      <c r="N44" s="62" t="n">
        <f aca="false">IF(H44="Alto",3,IF(H44="Médio",2,1))*2+4-IF(I44="Alto",3,IF(I44="Médio",2,1))</f>
        <v>9</v>
      </c>
      <c r="O44" s="59" t="s">
        <v>236</v>
      </c>
      <c r="P44" s="59"/>
      <c r="Q44" s="59"/>
    </row>
    <row r="45" customFormat="false" ht="23.85" hidden="false" customHeight="false" outlineLevel="0" collapsed="false">
      <c r="A45" s="56" t="s">
        <v>445</v>
      </c>
      <c r="B45" s="56" t="s">
        <v>441</v>
      </c>
      <c r="C45" s="56" t="s">
        <v>446</v>
      </c>
      <c r="D45" s="56" t="s">
        <v>447</v>
      </c>
      <c r="E45" s="56" t="s">
        <v>448</v>
      </c>
      <c r="F45" s="56" t="s">
        <v>230</v>
      </c>
      <c r="G45" s="56" t="s">
        <v>449</v>
      </c>
      <c r="H45" s="56" t="s">
        <v>232</v>
      </c>
      <c r="I45" s="56" t="s">
        <v>233</v>
      </c>
      <c r="J45" s="57" t="n">
        <v>1</v>
      </c>
      <c r="K45" s="56" t="s">
        <v>429</v>
      </c>
      <c r="L45" s="56" t="s">
        <v>251</v>
      </c>
      <c r="M45" s="56"/>
      <c r="N45" s="58" t="n">
        <f aca="false">IF(H45="Alto",3,IF(H45="Médio",2,1))*2+4-IF(I45="Alto",3,IF(I45="Médio",2,1))</f>
        <v>9</v>
      </c>
      <c r="O45" s="59" t="s">
        <v>236</v>
      </c>
      <c r="P45" s="59"/>
      <c r="Q45" s="59"/>
    </row>
    <row r="46" customFormat="false" ht="23.85" hidden="false" customHeight="false" outlineLevel="0" collapsed="false">
      <c r="A46" s="60" t="s">
        <v>450</v>
      </c>
      <c r="B46" s="60" t="s">
        <v>441</v>
      </c>
      <c r="C46" s="60" t="s">
        <v>451</v>
      </c>
      <c r="D46" s="60" t="s">
        <v>452</v>
      </c>
      <c r="E46" s="60" t="s">
        <v>453</v>
      </c>
      <c r="F46" s="60" t="s">
        <v>230</v>
      </c>
      <c r="G46" s="60" t="s">
        <v>230</v>
      </c>
      <c r="H46" s="60" t="s">
        <v>232</v>
      </c>
      <c r="I46" s="60" t="s">
        <v>250</v>
      </c>
      <c r="J46" s="61" t="n">
        <v>2</v>
      </c>
      <c r="K46" s="60" t="s">
        <v>271</v>
      </c>
      <c r="L46" s="60" t="s">
        <v>251</v>
      </c>
      <c r="M46" s="60"/>
      <c r="N46" s="62" t="n">
        <f aca="false">IF(H46="Alto",3,IF(H46="Médio",2,1))*2+4-IF(I46="Alto",3,IF(I46="Médio",2,1))</f>
        <v>8</v>
      </c>
      <c r="O46" s="59" t="s">
        <v>236</v>
      </c>
      <c r="P46" s="59"/>
      <c r="Q46" s="59"/>
    </row>
    <row r="47" customFormat="false" ht="23.85" hidden="false" customHeight="false" outlineLevel="0" collapsed="false">
      <c r="A47" s="56" t="s">
        <v>454</v>
      </c>
      <c r="B47" s="56" t="s">
        <v>441</v>
      </c>
      <c r="C47" s="56" t="s">
        <v>455</v>
      </c>
      <c r="D47" s="56" t="s">
        <v>456</v>
      </c>
      <c r="E47" s="56" t="s">
        <v>457</v>
      </c>
      <c r="F47" s="56" t="s">
        <v>295</v>
      </c>
      <c r="G47" s="56" t="s">
        <v>290</v>
      </c>
      <c r="H47" s="56" t="s">
        <v>250</v>
      </c>
      <c r="I47" s="56" t="s">
        <v>250</v>
      </c>
      <c r="J47" s="57" t="n">
        <v>3</v>
      </c>
      <c r="K47" s="56" t="s">
        <v>241</v>
      </c>
      <c r="L47" s="56" t="s">
        <v>251</v>
      </c>
      <c r="M47" s="56"/>
      <c r="N47" s="58" t="n">
        <f aca="false">IF(H47="Alto",3,IF(H47="Médio",2,1))*2+4-IF(I47="Alto",3,IF(I47="Médio",2,1))</f>
        <v>6</v>
      </c>
      <c r="O47" s="59" t="s">
        <v>236</v>
      </c>
      <c r="P47" s="59"/>
      <c r="Q47" s="59"/>
    </row>
    <row r="48" customFormat="false" ht="23.85" hidden="false" customHeight="false" outlineLevel="0" collapsed="false">
      <c r="A48" s="60" t="s">
        <v>458</v>
      </c>
      <c r="B48" s="60" t="s">
        <v>459</v>
      </c>
      <c r="C48" s="60" t="s">
        <v>460</v>
      </c>
      <c r="D48" s="60" t="s">
        <v>461</v>
      </c>
      <c r="E48" s="60" t="s">
        <v>462</v>
      </c>
      <c r="F48" s="60" t="s">
        <v>230</v>
      </c>
      <c r="G48" s="60" t="s">
        <v>230</v>
      </c>
      <c r="H48" s="60" t="s">
        <v>250</v>
      </c>
      <c r="I48" s="60" t="s">
        <v>233</v>
      </c>
      <c r="J48" s="61" t="n">
        <v>3</v>
      </c>
      <c r="K48" s="60" t="s">
        <v>241</v>
      </c>
      <c r="L48" s="60" t="s">
        <v>251</v>
      </c>
      <c r="M48" s="60"/>
      <c r="N48" s="62" t="n">
        <f aca="false">IF(H48="Alto",3,IF(H48="Médio",2,1))*2+4-IF(I48="Alto",3,IF(I48="Médio",2,1))</f>
        <v>7</v>
      </c>
      <c r="O48" s="59" t="s">
        <v>236</v>
      </c>
      <c r="P48" s="59"/>
      <c r="Q48" s="59"/>
    </row>
    <row r="49" customFormat="false" ht="23.85" hidden="false" customHeight="false" outlineLevel="0" collapsed="false">
      <c r="A49" s="56" t="s">
        <v>463</v>
      </c>
      <c r="B49" s="56" t="s">
        <v>459</v>
      </c>
      <c r="C49" s="56" t="s">
        <v>464</v>
      </c>
      <c r="D49" s="56" t="s">
        <v>465</v>
      </c>
      <c r="E49" s="56" t="s">
        <v>462</v>
      </c>
      <c r="F49" s="56" t="s">
        <v>230</v>
      </c>
      <c r="G49" s="56" t="s">
        <v>230</v>
      </c>
      <c r="H49" s="56" t="s">
        <v>250</v>
      </c>
      <c r="I49" s="56" t="s">
        <v>233</v>
      </c>
      <c r="J49" s="57" t="n">
        <v>3</v>
      </c>
      <c r="K49" s="56" t="s">
        <v>383</v>
      </c>
      <c r="L49" s="56" t="s">
        <v>251</v>
      </c>
      <c r="M49" s="56"/>
      <c r="N49" s="58" t="n">
        <f aca="false">IF(H49="Alto",3,IF(H49="Médio",2,1))*2+4-IF(I49="Alto",3,IF(I49="Médio",2,1))</f>
        <v>7</v>
      </c>
      <c r="O49" s="59" t="s">
        <v>236</v>
      </c>
      <c r="P49" s="59"/>
      <c r="Q49" s="59"/>
    </row>
    <row r="50" customFormat="false" ht="23.85" hidden="false" customHeight="false" outlineLevel="0" collapsed="false">
      <c r="A50" s="60" t="s">
        <v>466</v>
      </c>
      <c r="B50" s="60" t="s">
        <v>459</v>
      </c>
      <c r="C50" s="60" t="s">
        <v>467</v>
      </c>
      <c r="D50" s="60" t="s">
        <v>468</v>
      </c>
      <c r="E50" s="60" t="s">
        <v>469</v>
      </c>
      <c r="F50" s="60" t="s">
        <v>230</v>
      </c>
      <c r="G50" s="60" t="s">
        <v>230</v>
      </c>
      <c r="H50" s="60" t="s">
        <v>250</v>
      </c>
      <c r="I50" s="60" t="s">
        <v>250</v>
      </c>
      <c r="J50" s="61" t="n">
        <v>4</v>
      </c>
      <c r="K50" s="60" t="s">
        <v>241</v>
      </c>
      <c r="L50" s="60" t="s">
        <v>251</v>
      </c>
      <c r="M50" s="60"/>
      <c r="N50" s="62" t="n">
        <f aca="false">IF(H50="Alto",3,IF(H50="Médio",2,1))*2+4-IF(I50="Alto",3,IF(I50="Médio",2,1))</f>
        <v>6</v>
      </c>
      <c r="O50" s="59" t="s">
        <v>236</v>
      </c>
      <c r="P50" s="59"/>
      <c r="Q50" s="59"/>
    </row>
  </sheetData>
  <autoFilter ref="A4:Q50"/>
  <conditionalFormatting sqref="H5:H50">
    <cfRule type="cellIs" priority="2" operator="equal" aboveAverage="0" equalAverage="0" bottom="0" percent="0" rank="0" text="" dxfId="11">
      <formula>"Alto"</formula>
    </cfRule>
  </conditionalFormatting>
  <conditionalFormatting sqref="L5:L50">
    <cfRule type="cellIs" priority="3" operator="equal" aboveAverage="0" equalAverage="0" bottom="0" percent="0" rank="0" text="" dxfId="7">
      <formula>"Oportunidade"</formula>
    </cfRule>
  </conditionalFormatting>
  <dataValidations count="2">
    <dataValidation allowBlank="true" error="Escolha um valor da lista." errorStyle="stop" errorTitle="Valor inválido" operator="between" showDropDown="false" showErrorMessage="true" showInputMessage="false" sqref="O5:O50" type="list">
      <formula1>"Backlog,Em especificação,Em desenvolvimento,Modo sombra,Em produção,Descartada"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P5:P50" type="list">
      <formula1>Equipe!$A$5:$A$24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62"/>
    <col collapsed="false" customWidth="true" hidden="false" outlineLevel="0" max="4" min="4" style="0" width="24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8.55" hidden="false" customHeight="fals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4" customFormat="false" ht="15" hidden="false" customHeight="false" outlineLevel="0" collapsed="false">
      <c r="A4" s="15" t="s">
        <v>472</v>
      </c>
      <c r="C4" s="63" t="n">
        <v>46293</v>
      </c>
    </row>
    <row r="6" customFormat="false" ht="30" hidden="false" customHeight="true" outlineLevel="0" collapsed="false">
      <c r="A6" s="10" t="s">
        <v>473</v>
      </c>
      <c r="B6" s="10" t="s">
        <v>474</v>
      </c>
      <c r="C6" s="10" t="s">
        <v>220</v>
      </c>
      <c r="D6" s="10" t="s">
        <v>475</v>
      </c>
      <c r="E6" s="10" t="s">
        <v>476</v>
      </c>
      <c r="F6" s="10" t="s">
        <v>477</v>
      </c>
      <c r="G6" s="10" t="s">
        <v>223</v>
      </c>
      <c r="H6" s="10" t="s">
        <v>108</v>
      </c>
    </row>
    <row r="7" customFormat="false" ht="35.05" hidden="false" customHeight="false" outlineLevel="0" collapsed="false">
      <c r="A7" s="56" t="n">
        <v>1</v>
      </c>
      <c r="B7" s="56" t="n">
        <v>1</v>
      </c>
      <c r="C7" s="56" t="s">
        <v>478</v>
      </c>
      <c r="D7" s="56" t="s">
        <v>479</v>
      </c>
      <c r="E7" s="56" t="s">
        <v>480</v>
      </c>
      <c r="F7" s="64" t="n">
        <v>46295</v>
      </c>
      <c r="G7" s="59" t="s">
        <v>481</v>
      </c>
      <c r="H7" s="59" t="s">
        <v>482</v>
      </c>
    </row>
    <row r="8" customFormat="false" ht="23.85" hidden="false" customHeight="false" outlineLevel="0" collapsed="false">
      <c r="A8" s="56" t="n">
        <v>1</v>
      </c>
      <c r="B8" s="56" t="n">
        <v>2</v>
      </c>
      <c r="C8" s="56" t="s">
        <v>483</v>
      </c>
      <c r="D8" s="56" t="s">
        <v>484</v>
      </c>
      <c r="E8" s="56" t="s">
        <v>485</v>
      </c>
      <c r="F8" s="64" t="n">
        <f aca="false">$C$4+4+7*(A8-1)</f>
        <v>46297</v>
      </c>
      <c r="G8" s="59" t="s">
        <v>481</v>
      </c>
      <c r="H8" s="59"/>
    </row>
    <row r="9" customFormat="false" ht="23.85" hidden="false" customHeight="false" outlineLevel="0" collapsed="false">
      <c r="A9" s="56" t="n">
        <v>1</v>
      </c>
      <c r="B9" s="56" t="n">
        <v>3</v>
      </c>
      <c r="C9" s="56" t="s">
        <v>486</v>
      </c>
      <c r="D9" s="56" t="s">
        <v>484</v>
      </c>
      <c r="E9" s="56" t="s">
        <v>487</v>
      </c>
      <c r="F9" s="64" t="n">
        <f aca="false">$C$4+4+7*(A9-1)</f>
        <v>46297</v>
      </c>
      <c r="G9" s="59" t="s">
        <v>481</v>
      </c>
      <c r="H9" s="59"/>
    </row>
    <row r="10" customFormat="false" ht="15" hidden="false" customHeight="false" outlineLevel="0" collapsed="false">
      <c r="A10" s="56" t="n">
        <v>1</v>
      </c>
      <c r="B10" s="56" t="n">
        <v>4</v>
      </c>
      <c r="C10" s="56" t="s">
        <v>488</v>
      </c>
      <c r="D10" s="56" t="s">
        <v>489</v>
      </c>
      <c r="E10" s="56" t="s">
        <v>490</v>
      </c>
      <c r="F10" s="64" t="n">
        <f aca="false">$C$4+4+7*(A10-1)</f>
        <v>46297</v>
      </c>
      <c r="G10" s="59" t="s">
        <v>481</v>
      </c>
      <c r="H10" s="59"/>
    </row>
    <row r="11" customFormat="false" ht="23.85" hidden="false" customHeight="false" outlineLevel="0" collapsed="false">
      <c r="A11" s="56" t="n">
        <v>1</v>
      </c>
      <c r="B11" s="56" t="n">
        <v>5</v>
      </c>
      <c r="C11" s="56" t="s">
        <v>491</v>
      </c>
      <c r="D11" s="56" t="s">
        <v>484</v>
      </c>
      <c r="E11" s="56" t="s">
        <v>492</v>
      </c>
      <c r="F11" s="64" t="n">
        <f aca="false">$C$4+4+7*(A11-1)</f>
        <v>46297</v>
      </c>
      <c r="G11" s="59" t="s">
        <v>481</v>
      </c>
      <c r="H11" s="59"/>
    </row>
    <row r="12" customFormat="false" ht="15" hidden="false" customHeight="false" outlineLevel="0" collapsed="false">
      <c r="A12" s="60" t="n">
        <v>2</v>
      </c>
      <c r="B12" s="60" t="n">
        <v>6</v>
      </c>
      <c r="C12" s="60" t="s">
        <v>493</v>
      </c>
      <c r="D12" s="60" t="s">
        <v>494</v>
      </c>
      <c r="E12" s="60" t="s">
        <v>495</v>
      </c>
      <c r="F12" s="65" t="n">
        <f aca="false">$C$4+4+7*(A12-1)</f>
        <v>46304</v>
      </c>
      <c r="G12" s="59" t="s">
        <v>481</v>
      </c>
      <c r="H12" s="59"/>
    </row>
    <row r="13" customFormat="false" ht="15" hidden="false" customHeight="false" outlineLevel="0" collapsed="false">
      <c r="A13" s="60" t="n">
        <v>2</v>
      </c>
      <c r="B13" s="60" t="n">
        <v>7</v>
      </c>
      <c r="C13" s="60" t="s">
        <v>496</v>
      </c>
      <c r="D13" s="60" t="s">
        <v>489</v>
      </c>
      <c r="E13" s="60" t="s">
        <v>497</v>
      </c>
      <c r="F13" s="65" t="n">
        <f aca="false">$C$4+4+7*(A13-1)</f>
        <v>46304</v>
      </c>
      <c r="G13" s="59" t="s">
        <v>481</v>
      </c>
      <c r="H13" s="59"/>
    </row>
    <row r="14" customFormat="false" ht="23.85" hidden="false" customHeight="false" outlineLevel="0" collapsed="false">
      <c r="A14" s="60" t="n">
        <v>2</v>
      </c>
      <c r="B14" s="60" t="n">
        <v>8</v>
      </c>
      <c r="C14" s="60" t="s">
        <v>498</v>
      </c>
      <c r="D14" s="60" t="s">
        <v>499</v>
      </c>
      <c r="E14" s="60" t="s">
        <v>500</v>
      </c>
      <c r="F14" s="65" t="n">
        <f aca="false">$C$4+4+7*(A14-1)</f>
        <v>46304</v>
      </c>
      <c r="G14" s="59" t="s">
        <v>481</v>
      </c>
      <c r="H14" s="59"/>
    </row>
    <row r="15" customFormat="false" ht="23.85" hidden="false" customHeight="false" outlineLevel="0" collapsed="false">
      <c r="A15" s="60" t="n">
        <v>2</v>
      </c>
      <c r="B15" s="60" t="n">
        <v>9</v>
      </c>
      <c r="C15" s="60" t="s">
        <v>501</v>
      </c>
      <c r="D15" s="60" t="s">
        <v>502</v>
      </c>
      <c r="E15" s="60" t="s">
        <v>503</v>
      </c>
      <c r="F15" s="65" t="n">
        <f aca="false">$C$4+4+7*(A15-1)</f>
        <v>46304</v>
      </c>
      <c r="G15" s="59" t="s">
        <v>481</v>
      </c>
      <c r="H15" s="59"/>
    </row>
    <row r="16" customFormat="false" ht="15" hidden="false" customHeight="false" outlineLevel="0" collapsed="false">
      <c r="A16" s="60" t="n">
        <v>2</v>
      </c>
      <c r="B16" s="60" t="n">
        <v>10</v>
      </c>
      <c r="C16" s="60" t="s">
        <v>504</v>
      </c>
      <c r="D16" s="60" t="s">
        <v>484</v>
      </c>
      <c r="E16" s="60" t="s">
        <v>505</v>
      </c>
      <c r="F16" s="65" t="n">
        <f aca="false">$C$4+4+7*(A16-1)</f>
        <v>46304</v>
      </c>
      <c r="G16" s="59" t="s">
        <v>481</v>
      </c>
      <c r="H16" s="59"/>
    </row>
    <row r="17" customFormat="false" ht="23.85" hidden="false" customHeight="false" outlineLevel="0" collapsed="false">
      <c r="A17" s="56" t="n">
        <v>3</v>
      </c>
      <c r="B17" s="56" t="n">
        <v>11</v>
      </c>
      <c r="C17" s="56" t="s">
        <v>506</v>
      </c>
      <c r="D17" s="56" t="s">
        <v>507</v>
      </c>
      <c r="E17" s="56" t="s">
        <v>508</v>
      </c>
      <c r="F17" s="64" t="n">
        <f aca="false">$C$4+4+7*(A17-1)</f>
        <v>46311</v>
      </c>
      <c r="G17" s="59" t="s">
        <v>481</v>
      </c>
      <c r="H17" s="59"/>
    </row>
    <row r="18" customFormat="false" ht="15" hidden="false" customHeight="false" outlineLevel="0" collapsed="false">
      <c r="A18" s="56" t="n">
        <v>3</v>
      </c>
      <c r="B18" s="56" t="n">
        <v>12</v>
      </c>
      <c r="C18" s="56" t="s">
        <v>509</v>
      </c>
      <c r="D18" s="56" t="s">
        <v>507</v>
      </c>
      <c r="E18" s="56" t="s">
        <v>510</v>
      </c>
      <c r="F18" s="64" t="n">
        <f aca="false">$C$4+4+7*(A18-1)</f>
        <v>46311</v>
      </c>
      <c r="G18" s="59" t="s">
        <v>481</v>
      </c>
      <c r="H18" s="59"/>
    </row>
    <row r="19" customFormat="false" ht="23.85" hidden="false" customHeight="false" outlineLevel="0" collapsed="false">
      <c r="A19" s="56" t="n">
        <v>3</v>
      </c>
      <c r="B19" s="56" t="n">
        <v>13</v>
      </c>
      <c r="C19" s="56" t="s">
        <v>511</v>
      </c>
      <c r="D19" s="56" t="s">
        <v>489</v>
      </c>
      <c r="E19" s="56" t="s">
        <v>512</v>
      </c>
      <c r="F19" s="64" t="n">
        <f aca="false">$C$4+4+7*(A19-1)</f>
        <v>46311</v>
      </c>
      <c r="G19" s="59" t="s">
        <v>481</v>
      </c>
      <c r="H19" s="59"/>
    </row>
    <row r="20" customFormat="false" ht="15" hidden="false" customHeight="false" outlineLevel="0" collapsed="false">
      <c r="A20" s="56" t="n">
        <v>3</v>
      </c>
      <c r="B20" s="56" t="n">
        <v>14</v>
      </c>
      <c r="C20" s="56" t="s">
        <v>513</v>
      </c>
      <c r="D20" s="56" t="s">
        <v>489</v>
      </c>
      <c r="E20" s="56" t="s">
        <v>514</v>
      </c>
      <c r="F20" s="64" t="n">
        <f aca="false">$C$4+4+7*(A20-1)</f>
        <v>46311</v>
      </c>
      <c r="G20" s="59" t="s">
        <v>481</v>
      </c>
      <c r="H20" s="59"/>
    </row>
    <row r="21" customFormat="false" ht="15" hidden="false" customHeight="false" outlineLevel="0" collapsed="false">
      <c r="A21" s="60" t="n">
        <v>4</v>
      </c>
      <c r="B21" s="60" t="n">
        <v>15</v>
      </c>
      <c r="C21" s="60" t="s">
        <v>515</v>
      </c>
      <c r="D21" s="60" t="s">
        <v>479</v>
      </c>
      <c r="E21" s="60" t="s">
        <v>516</v>
      </c>
      <c r="F21" s="65" t="n">
        <f aca="false">$C$4+4+7*(A21-1)</f>
        <v>46318</v>
      </c>
      <c r="G21" s="59" t="s">
        <v>481</v>
      </c>
      <c r="H21" s="59"/>
    </row>
    <row r="22" customFormat="false" ht="23.85" hidden="false" customHeight="false" outlineLevel="0" collapsed="false">
      <c r="A22" s="60" t="n">
        <v>4</v>
      </c>
      <c r="B22" s="60" t="n">
        <v>16</v>
      </c>
      <c r="C22" s="60" t="s">
        <v>517</v>
      </c>
      <c r="D22" s="60" t="s">
        <v>484</v>
      </c>
      <c r="E22" s="60" t="s">
        <v>518</v>
      </c>
      <c r="F22" s="65" t="n">
        <f aca="false">$C$4+4+7*(A22-1)</f>
        <v>46318</v>
      </c>
      <c r="G22" s="59" t="s">
        <v>481</v>
      </c>
      <c r="H22" s="59"/>
    </row>
    <row r="23" customFormat="false" ht="23.85" hidden="false" customHeight="false" outlineLevel="0" collapsed="false">
      <c r="A23" s="60" t="n">
        <v>4</v>
      </c>
      <c r="B23" s="60" t="n">
        <v>17</v>
      </c>
      <c r="C23" s="60" t="s">
        <v>519</v>
      </c>
      <c r="D23" s="60" t="s">
        <v>507</v>
      </c>
      <c r="E23" s="60" t="s">
        <v>520</v>
      </c>
      <c r="F23" s="65" t="n">
        <f aca="false">$C$4+4+7*(A23-1)</f>
        <v>46318</v>
      </c>
      <c r="G23" s="59" t="s">
        <v>481</v>
      </c>
      <c r="H23" s="59"/>
    </row>
    <row r="24" customFormat="false" ht="15" hidden="false" customHeight="false" outlineLevel="0" collapsed="false">
      <c r="A24" s="60" t="n">
        <v>4</v>
      </c>
      <c r="B24" s="60" t="n">
        <v>18</v>
      </c>
      <c r="C24" s="60" t="s">
        <v>521</v>
      </c>
      <c r="D24" s="60" t="s">
        <v>479</v>
      </c>
      <c r="E24" s="60" t="s">
        <v>522</v>
      </c>
      <c r="F24" s="65" t="n">
        <f aca="false">$C$4+4+7*(A24-1)</f>
        <v>46318</v>
      </c>
      <c r="G24" s="59" t="s">
        <v>481</v>
      </c>
      <c r="H24" s="59"/>
    </row>
  </sheetData>
  <dataValidations count="1">
    <dataValidation allowBlank="true" error="Escolha um valor da lista." errorStyle="stop" errorTitle="Valor inválido" operator="between" showDropDown="false" showErrorMessage="true" showInputMessage="false" sqref="G7:G24" type="list">
      <formula1>"A fazer,Em andamento,Concluído,Bloqueado"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8A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62"/>
    <col collapsed="false" customWidth="true" hidden="false" outlineLevel="0" max="5" min="4" style="0" width="46"/>
    <col collapsed="false" customWidth="true" hidden="false" outlineLevel="0" max="6" min="6" style="0" width="20"/>
  </cols>
  <sheetData>
    <row r="1" customFormat="false" ht="18.55" hidden="false" customHeight="false" outlineLevel="0" collapsed="false">
      <c r="A1" s="1" t="s">
        <v>523</v>
      </c>
    </row>
    <row r="2" customFormat="false" ht="15" hidden="false" customHeight="false" outlineLevel="0" collapsed="false">
      <c r="A2" s="2" t="s">
        <v>524</v>
      </c>
    </row>
    <row r="4" customFormat="false" ht="30" hidden="false" customHeight="true" outlineLevel="0" collapsed="false">
      <c r="A4" s="10" t="s">
        <v>525</v>
      </c>
      <c r="B4" s="10" t="s">
        <v>474</v>
      </c>
      <c r="C4" s="10" t="s">
        <v>526</v>
      </c>
      <c r="D4" s="10" t="s">
        <v>527</v>
      </c>
      <c r="E4" s="10" t="s">
        <v>528</v>
      </c>
      <c r="F4" s="10" t="s">
        <v>529</v>
      </c>
    </row>
    <row r="5" customFormat="false" ht="35.05" hidden="false" customHeight="false" outlineLevel="0" collapsed="false">
      <c r="A5" s="56" t="s">
        <v>530</v>
      </c>
      <c r="B5" s="56" t="n">
        <v>1</v>
      </c>
      <c r="C5" s="56" t="s">
        <v>531</v>
      </c>
      <c r="D5" s="56" t="s">
        <v>532</v>
      </c>
      <c r="E5" s="59"/>
      <c r="F5" s="59"/>
    </row>
    <row r="6" customFormat="false" ht="15" hidden="false" customHeight="false" outlineLevel="0" collapsed="false">
      <c r="A6" s="56" t="s">
        <v>530</v>
      </c>
      <c r="B6" s="56" t="n">
        <v>2</v>
      </c>
      <c r="C6" s="56" t="s">
        <v>533</v>
      </c>
      <c r="D6" s="56" t="s">
        <v>534</v>
      </c>
      <c r="E6" s="59"/>
      <c r="F6" s="59"/>
    </row>
    <row r="7" customFormat="false" ht="35.05" hidden="false" customHeight="false" outlineLevel="0" collapsed="false">
      <c r="A7" s="56" t="s">
        <v>530</v>
      </c>
      <c r="B7" s="56" t="n">
        <v>3</v>
      </c>
      <c r="C7" s="56" t="s">
        <v>535</v>
      </c>
      <c r="D7" s="56" t="s">
        <v>536</v>
      </c>
      <c r="E7" s="59"/>
      <c r="F7" s="59"/>
    </row>
    <row r="8" customFormat="false" ht="23.85" hidden="false" customHeight="false" outlineLevel="0" collapsed="false">
      <c r="A8" s="56" t="s">
        <v>530</v>
      </c>
      <c r="B8" s="56" t="n">
        <v>4</v>
      </c>
      <c r="C8" s="56" t="s">
        <v>537</v>
      </c>
      <c r="D8" s="56" t="s">
        <v>538</v>
      </c>
      <c r="E8" s="59"/>
      <c r="F8" s="59"/>
    </row>
    <row r="9" customFormat="false" ht="23.85" hidden="false" customHeight="false" outlineLevel="0" collapsed="false">
      <c r="A9" s="56" t="s">
        <v>530</v>
      </c>
      <c r="B9" s="56" t="n">
        <v>5</v>
      </c>
      <c r="C9" s="56" t="s">
        <v>539</v>
      </c>
      <c r="D9" s="56" t="s">
        <v>540</v>
      </c>
      <c r="E9" s="59"/>
      <c r="F9" s="59"/>
    </row>
    <row r="10" customFormat="false" ht="23.85" hidden="false" customHeight="false" outlineLevel="0" collapsed="false">
      <c r="A10" s="56" t="s">
        <v>530</v>
      </c>
      <c r="B10" s="56" t="n">
        <v>6</v>
      </c>
      <c r="C10" s="56" t="s">
        <v>541</v>
      </c>
      <c r="D10" s="56" t="s">
        <v>542</v>
      </c>
      <c r="E10" s="59"/>
      <c r="F10" s="59"/>
    </row>
    <row r="11" customFormat="false" ht="23.85" hidden="false" customHeight="false" outlineLevel="0" collapsed="false">
      <c r="A11" s="56" t="s">
        <v>530</v>
      </c>
      <c r="B11" s="56" t="n">
        <v>7</v>
      </c>
      <c r="C11" s="56" t="s">
        <v>543</v>
      </c>
      <c r="D11" s="56" t="s">
        <v>544</v>
      </c>
      <c r="E11" s="59"/>
      <c r="F11" s="59"/>
    </row>
    <row r="12" customFormat="false" ht="23.85" hidden="false" customHeight="false" outlineLevel="0" collapsed="false">
      <c r="A12" s="56" t="s">
        <v>530</v>
      </c>
      <c r="B12" s="56" t="n">
        <v>8</v>
      </c>
      <c r="C12" s="56" t="s">
        <v>545</v>
      </c>
      <c r="D12" s="56" t="s">
        <v>546</v>
      </c>
      <c r="E12" s="59"/>
      <c r="F12" s="59"/>
    </row>
    <row r="13" customFormat="false" ht="23.85" hidden="false" customHeight="false" outlineLevel="0" collapsed="false">
      <c r="A13" s="56" t="s">
        <v>530</v>
      </c>
      <c r="B13" s="56" t="n">
        <v>9</v>
      </c>
      <c r="C13" s="56" t="s">
        <v>547</v>
      </c>
      <c r="D13" s="56" t="s">
        <v>548</v>
      </c>
      <c r="E13" s="59"/>
      <c r="F13" s="59"/>
    </row>
    <row r="14" customFormat="false" ht="15" hidden="false" customHeight="false" outlineLevel="0" collapsed="false">
      <c r="A14" s="56" t="s">
        <v>530</v>
      </c>
      <c r="B14" s="56" t="n">
        <v>10</v>
      </c>
      <c r="C14" s="56" t="s">
        <v>549</v>
      </c>
      <c r="D14" s="56" t="s">
        <v>550</v>
      </c>
      <c r="E14" s="59"/>
      <c r="F14" s="59"/>
    </row>
    <row r="15" customFormat="false" ht="23.85" hidden="false" customHeight="false" outlineLevel="0" collapsed="false">
      <c r="A15" s="56" t="s">
        <v>551</v>
      </c>
      <c r="B15" s="56" t="n">
        <v>11</v>
      </c>
      <c r="C15" s="56" t="s">
        <v>552</v>
      </c>
      <c r="D15" s="56" t="s">
        <v>553</v>
      </c>
      <c r="E15" s="59"/>
      <c r="F15" s="59"/>
    </row>
    <row r="16" customFormat="false" ht="23.85" hidden="false" customHeight="false" outlineLevel="0" collapsed="false">
      <c r="A16" s="56" t="s">
        <v>551</v>
      </c>
      <c r="B16" s="56" t="n">
        <v>12</v>
      </c>
      <c r="C16" s="56" t="s">
        <v>554</v>
      </c>
      <c r="D16" s="56" t="s">
        <v>555</v>
      </c>
      <c r="E16" s="59"/>
      <c r="F16" s="59"/>
    </row>
    <row r="17" customFormat="false" ht="15" hidden="false" customHeight="false" outlineLevel="0" collapsed="false">
      <c r="A17" s="56" t="s">
        <v>551</v>
      </c>
      <c r="B17" s="56" t="n">
        <v>13</v>
      </c>
      <c r="C17" s="56" t="s">
        <v>556</v>
      </c>
      <c r="D17" s="56" t="s">
        <v>557</v>
      </c>
      <c r="E17" s="59"/>
      <c r="F17" s="59"/>
    </row>
    <row r="18" customFormat="false" ht="15" hidden="false" customHeight="false" outlineLevel="0" collapsed="false">
      <c r="A18" s="56" t="s">
        <v>558</v>
      </c>
      <c r="B18" s="56" t="n">
        <v>14</v>
      </c>
      <c r="C18" s="56" t="s">
        <v>559</v>
      </c>
      <c r="D18" s="56" t="s">
        <v>560</v>
      </c>
      <c r="E18" s="59"/>
      <c r="F18" s="59"/>
    </row>
    <row r="19" customFormat="false" ht="23.85" hidden="false" customHeight="false" outlineLevel="0" collapsed="false">
      <c r="A19" s="56" t="s">
        <v>558</v>
      </c>
      <c r="B19" s="56" t="n">
        <v>15</v>
      </c>
      <c r="C19" s="56" t="s">
        <v>561</v>
      </c>
      <c r="D19" s="56" t="s">
        <v>562</v>
      </c>
      <c r="E19" s="59"/>
      <c r="F19" s="59"/>
    </row>
    <row r="20" customFormat="false" ht="23.85" hidden="false" customHeight="false" outlineLevel="0" collapsed="false">
      <c r="A20" s="56" t="s">
        <v>558</v>
      </c>
      <c r="B20" s="56" t="n">
        <v>16</v>
      </c>
      <c r="C20" s="56" t="s">
        <v>563</v>
      </c>
      <c r="D20" s="56" t="s">
        <v>564</v>
      </c>
      <c r="E20" s="59"/>
      <c r="F20" s="59"/>
    </row>
    <row r="21" customFormat="false" ht="15" hidden="false" customHeight="false" outlineLevel="0" collapsed="false">
      <c r="A21" s="56" t="s">
        <v>558</v>
      </c>
      <c r="B21" s="56" t="n">
        <v>17</v>
      </c>
      <c r="C21" s="56" t="s">
        <v>565</v>
      </c>
      <c r="D21" s="56" t="s">
        <v>566</v>
      </c>
      <c r="E21" s="59"/>
      <c r="F21" s="59"/>
    </row>
    <row r="22" customFormat="false" ht="23.85" hidden="false" customHeight="false" outlineLevel="0" collapsed="false">
      <c r="A22" s="56" t="s">
        <v>558</v>
      </c>
      <c r="B22" s="56" t="n">
        <v>18</v>
      </c>
      <c r="C22" s="56" t="s">
        <v>567</v>
      </c>
      <c r="D22" s="56" t="s">
        <v>568</v>
      </c>
      <c r="E22" s="59"/>
      <c r="F22" s="5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2026-09-26T18:05:37Z</dcterms:created>
  <dc:creator>openpyxl</dc:creator>
  <dc:description/>
  <dc:language>en-US</dc:language>
  <cp:lastModifiedBy/>
  <dcterms:modified xsi:type="dcterms:W3CDTF">2026-09-26T18:05:38Z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